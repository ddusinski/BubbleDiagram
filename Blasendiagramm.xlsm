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DieseArbeitsmappe" defaultThemeVersion="124226"/>
  <bookViews>
    <workbookView xWindow="240" yWindow="75" windowWidth="19320" windowHeight="10110"/>
  </bookViews>
  <sheets>
    <sheet name="Chart 1" sheetId="88" r:id="rId1"/>
    <sheet name="MENU" sheetId="1" r:id="rId2"/>
    <sheet name="Dane" sheetId="43" r:id="rId3"/>
  </sheets>
  <functionGroups builtInGroupCount="17"/>
  <calcPr calcId="144525"/>
</workbook>
</file>

<file path=xl/calcChain.xml><?xml version="1.0" encoding="utf-8"?>
<calcChain xmlns="http://schemas.openxmlformats.org/spreadsheetml/2006/main">
  <c r="I5" i="43" l="1"/>
  <c r="I3" i="43"/>
  <c r="E10" i="1"/>
  <c r="F10" i="1"/>
  <c r="G10" i="1"/>
  <c r="H10" i="1"/>
  <c r="G7" i="1" l="1"/>
  <c r="G6" i="1"/>
</calcChain>
</file>

<file path=xl/sharedStrings.xml><?xml version="1.0" encoding="utf-8"?>
<sst xmlns="http://schemas.openxmlformats.org/spreadsheetml/2006/main" count="79" uniqueCount="58">
  <si>
    <t>Name</t>
  </si>
  <si>
    <t>Auswertelänge [km]</t>
  </si>
  <si>
    <t>Abschnitte</t>
  </si>
  <si>
    <t>ColumnName</t>
  </si>
  <si>
    <t>D</t>
  </si>
  <si>
    <t>ColumnBubbleSize</t>
  </si>
  <si>
    <t>ColumnXValues</t>
  </si>
  <si>
    <t>E</t>
  </si>
  <si>
    <t>ChartTitle</t>
  </si>
  <si>
    <t>ImprovedValuesStyle</t>
  </si>
  <si>
    <t>DegraduetetValuesStyle</t>
  </si>
  <si>
    <t>ColumnYValues</t>
  </si>
  <si>
    <t>AxeStyle</t>
  </si>
  <si>
    <t>AxeMin</t>
  </si>
  <si>
    <t>AxeMax</t>
  </si>
  <si>
    <t>XaxeTitle&amp;Style</t>
  </si>
  <si>
    <t>YaxeTitle&amp;Style</t>
  </si>
  <si>
    <t>LabelStyleDegraduated</t>
  </si>
  <si>
    <t>LabelStyleImproved</t>
  </si>
  <si>
    <t>BubbleSizeScale[%]</t>
  </si>
  <si>
    <t>LeadingLineStyle</t>
  </si>
  <si>
    <t>CN</t>
  </si>
  <si>
    <t>H</t>
  </si>
  <si>
    <t>CrossLineGood</t>
  </si>
  <si>
    <t>CrossLineBad</t>
  </si>
  <si>
    <t>BUND</t>
  </si>
  <si>
    <t>SameValues</t>
  </si>
  <si>
    <t>LabelSameValues</t>
  </si>
  <si>
    <t>CrossLinieSame</t>
  </si>
  <si>
    <t>G</t>
  </si>
  <si>
    <t>Teilnetz_lang</t>
  </si>
  <si>
    <t>StBA Freising</t>
  </si>
  <si>
    <t>StBA Ingolstadt</t>
  </si>
  <si>
    <t>StBA Rosenheim</t>
  </si>
  <si>
    <t>StBA Traunstein</t>
  </si>
  <si>
    <t>StBA Weilheim</t>
  </si>
  <si>
    <t>StBA Landshut</t>
  </si>
  <si>
    <t>StBA Passau</t>
  </si>
  <si>
    <t>StBA Amberg-Sulz</t>
  </si>
  <si>
    <t>StBA Regensburg</t>
  </si>
  <si>
    <t>StBA Bamberg</t>
  </si>
  <si>
    <t>StBA Bayreuth</t>
  </si>
  <si>
    <t>StBA Ansbach</t>
  </si>
  <si>
    <t>StBA Nürnberg</t>
  </si>
  <si>
    <t>StBA Aschaffenbu</t>
  </si>
  <si>
    <t>StBA Schweinfurt</t>
  </si>
  <si>
    <t>StBA Würzburg</t>
  </si>
  <si>
    <t>StBA Augsburg</t>
  </si>
  <si>
    <t>StBA Kempten</t>
  </si>
  <si>
    <t>StBA Krumbach</t>
  </si>
  <si>
    <t>Staatliche Bauämter / alle Strecken</t>
  </si>
  <si>
    <t>ZEB 2007</t>
  </si>
  <si>
    <t>ZEB 2011</t>
  </si>
  <si>
    <t>Analyse der Zustandsdynamik ZEB 2007-2011</t>
  </si>
  <si>
    <t>Mittelwert ZWFLI (2003)</t>
  </si>
  <si>
    <t>Mittelwert ZWFLI (2007)</t>
  </si>
  <si>
    <t>Mittelwert ZWFLI (2011)</t>
  </si>
  <si>
    <t>Flickstellen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</si>
</sst>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  <charset val="238"/>
    </font>
    <font>
      <sz val="11"/>
      <color indexed="8"/>
      <name val="Arial"/>
      <family val="2"/>
      <charset val="238"/>
    </font>
    <font>
      <sz val="8"/>
      <color indexed="8"/>
      <name val="Arial"/>
      <family val="2"/>
      <charset val="238"/>
    </font>
    <font>
      <sz val="8"/>
      <name val="Calibri"/>
      <family val="2"/>
      <charset val="238"/>
      <scheme val="minor"/>
    </font>
    <font>
      <b/>
      <sz val="15"/>
      <color rgb="FF00000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indexed="8"/>
      <name val="Arial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9B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7C80"/>
        <bgColor indexed="64"/>
      </patternFill>
    </fill>
  </fills>
  <borders count="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7" fillId="0" borderId="0"/>
  </cellStyleXfs>
  <cellXfs count="27">
    <xf numFmtId="0" fontId="0" fillId="0" borderId="0" xfId="0"/>
    <xf numFmtId="0" fontId="0" fillId="0" borderId="0" xfId="0" applyFill="1" applyBorder="1"/>
    <xf numFmtId="0" fontId="0" fillId="0" borderId="0" xfId="0" applyFill="1"/>
    <xf numFmtId="0" fontId="0" fillId="0" borderId="0" xfId="0" applyBorder="1"/>
    <xf numFmtId="0" fontId="0" fillId="2" borderId="0" xfId="0" applyFill="1" applyBorder="1"/>
    <xf numFmtId="0" fontId="0" fillId="0" borderId="0" xfId="0" applyFill="1" applyAlignment="1">
      <alignment horizontal="right"/>
    </xf>
    <xf numFmtId="0" fontId="0" fillId="0" borderId="0" xfId="0" applyFill="1" applyBorder="1" applyAlignment="1">
      <alignment horizontal="right"/>
    </xf>
    <xf numFmtId="0" fontId="2" fillId="4" borderId="1" xfId="2" applyFont="1" applyFill="1" applyBorder="1" applyAlignment="1">
      <alignment horizontal="right" wrapText="1"/>
    </xf>
    <xf numFmtId="0" fontId="0" fillId="0" borderId="0" xfId="0" applyFont="1" applyFill="1"/>
    <xf numFmtId="0" fontId="5" fillId="0" borderId="0" xfId="0" applyFont="1" applyAlignment="1">
      <alignment horizontal="center" readingOrder="1"/>
    </xf>
    <xf numFmtId="0" fontId="6" fillId="0" borderId="0" xfId="0" applyFont="1"/>
    <xf numFmtId="2" fontId="0" fillId="0" borderId="0" xfId="0" applyNumberFormat="1"/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0" fillId="3" borderId="3" xfId="0" applyFill="1" applyBorder="1"/>
    <xf numFmtId="0" fontId="2" fillId="3" borderId="4" xfId="1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3" fillId="2" borderId="6" xfId="2" applyFont="1" applyFill="1" applyBorder="1" applyAlignment="1">
      <alignment wrapText="1"/>
    </xf>
    <xf numFmtId="0" fontId="2" fillId="2" borderId="7" xfId="2" applyFont="1" applyFill="1" applyBorder="1" applyAlignment="1">
      <alignment horizontal="right" wrapText="1"/>
    </xf>
    <xf numFmtId="2" fontId="2" fillId="2" borderId="7" xfId="2" applyNumberFormat="1" applyFont="1" applyFill="1" applyBorder="1" applyAlignment="1">
      <alignment horizontal="right" wrapText="1"/>
    </xf>
    <xf numFmtId="0" fontId="0" fillId="4" borderId="0" xfId="0" applyFont="1" applyFill="1"/>
    <xf numFmtId="0" fontId="4" fillId="7" borderId="2" xfId="0" applyFont="1" applyFill="1" applyBorder="1" applyAlignment="1">
      <alignment horizontal="center"/>
    </xf>
    <xf numFmtId="2" fontId="0" fillId="0" borderId="0" xfId="0" applyNumberFormat="1" applyFill="1" applyBorder="1"/>
    <xf numFmtId="0" fontId="5" fillId="0" borderId="2" xfId="0" applyFont="1" applyBorder="1" applyAlignment="1">
      <alignment horizontal="left" readingOrder="1"/>
    </xf>
    <xf numFmtId="0" fontId="5" fillId="0" borderId="2" xfId="0" applyFont="1" applyBorder="1" applyAlignment="1">
      <alignment horizontal="left" vertical="top" readingOrder="1"/>
    </xf>
    <xf numFmtId="0" fontId="5" fillId="0" borderId="2" xfId="0" applyFont="1" applyBorder="1" applyAlignment="1"/>
  </cellXfs>
  <cellStyles count="4">
    <cellStyle name="Normalny" xfId="0" builtinId="0"/>
    <cellStyle name="Normalny_Arkusz1" xfId="1"/>
    <cellStyle name="Normalny_Arkusz3" xfId="2"/>
    <cellStyle name="Standard_Zusammenfassung" xfId="3"/>
  </cellStyles>
  <dxfs count="0"/>
  <tableStyles count="0" defaultTableStyle="TableStyleMedium9" defaultPivotStyle="PivotStyleLight16"/>
  <colors>
    <mruColors>
      <color rgb="FFFF7C80"/>
      <color rgb="FFD9D9D9"/>
      <color rgb="FF669BFF"/>
      <color rgb="FFFF9999"/>
      <color rgb="FFFF6699"/>
      <color rgb="FFFF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1" i="0" u="none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Analyse der Zustandsdynamik ZEB 2007-2011</a:t>
            </a:r>
          </a:p>
          <a:p>
            <a:pPr>
              <a:defRPr sz="1500" b="1" i="0" u="none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Flickstellen</a:t>
            </a:r>
          </a:p>
          <a:p>
            <a:pPr>
              <a:defRPr sz="1500" b="1" i="0" u="none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Staatliche Bauämter / alle Strecken</a:t>
            </a:r>
          </a:p>
        </c:rich>
      </c:tx>
      <c:layout/>
      <c:overlay val="0"/>
    </c:title>
    <c:autoTitleDeleted val="0"/>
    <c:plotArea>
      <c:layout/>
      <c:bubbleChart>
        <c:varyColors val="0"/>
        <c:ser>
          <c:idx val="0"/>
          <c:order val="0"/>
          <c:invertIfNegative val="0"/>
          <c:yVal>
            <c:numRef>
              <c:f>MENU!$A$2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ser>
          <c:idx val="1"/>
          <c:order val="1"/>
          <c:tx>
            <c:v>StBA Freising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1.309999942779541</c:v>
              </c:pt>
            </c:numLit>
          </c:xVal>
          <c:yVal>
            <c:numLit>
              <c:formatCode>General</c:formatCode>
              <c:ptCount val="1"/>
              <c:pt idx="0">
                <c:v>1.3200000524520874</c:v>
              </c:pt>
            </c:numLit>
          </c:yVal>
          <c:bubbleSize>
            <c:numLit>
              <c:formatCode>General</c:formatCode>
              <c:ptCount val="1"/>
              <c:pt idx="0">
                <c:v>308.36099999999999</c:v>
              </c:pt>
            </c:numLit>
          </c:bubbleSize>
          <c:bubble3D val="0"/>
        </c:ser>
        <c:ser>
          <c:idx val="2"/>
          <c:order val="2"/>
          <c:tx>
            <c:v>StBA Ingolstadt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1.1399999856948853</c:v>
              </c:pt>
            </c:numLit>
          </c:xVal>
          <c:yVal>
            <c:numLit>
              <c:formatCode>General</c:formatCode>
              <c:ptCount val="1"/>
              <c:pt idx="0">
                <c:v>1.1599999666213989</c:v>
              </c:pt>
            </c:numLit>
          </c:yVal>
          <c:bubbleSize>
            <c:numLit>
              <c:formatCode>General</c:formatCode>
              <c:ptCount val="1"/>
              <c:pt idx="0">
                <c:v>190.17599999999999</c:v>
              </c:pt>
            </c:numLit>
          </c:bubbleSize>
          <c:bubble3D val="0"/>
        </c:ser>
        <c:ser>
          <c:idx val="3"/>
          <c:order val="3"/>
          <c:tx>
            <c:v>StBA Rosenheim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1.4500000476837158</c:v>
              </c:pt>
            </c:numLit>
          </c:xVal>
          <c:yVal>
            <c:numLit>
              <c:formatCode>General</c:formatCode>
              <c:ptCount val="1"/>
              <c:pt idx="0">
                <c:v>1.3799999952316284</c:v>
              </c:pt>
            </c:numLit>
          </c:yVal>
          <c:bubbleSize>
            <c:numLit>
              <c:formatCode>General</c:formatCode>
              <c:ptCount val="1"/>
              <c:pt idx="0">
                <c:v>262.88400000000001</c:v>
              </c:pt>
            </c:numLit>
          </c:bubbleSize>
          <c:bubble3D val="0"/>
        </c:ser>
        <c:ser>
          <c:idx val="4"/>
          <c:order val="4"/>
          <c:tx>
            <c:v>StBA Traunstein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1.3200000524520874</c:v>
              </c:pt>
            </c:numLit>
          </c:xVal>
          <c:yVal>
            <c:numLit>
              <c:formatCode>General</c:formatCode>
              <c:ptCount val="1"/>
              <c:pt idx="0">
                <c:v>1.3500000238418579</c:v>
              </c:pt>
            </c:numLit>
          </c:yVal>
          <c:bubbleSize>
            <c:numLit>
              <c:formatCode>General</c:formatCode>
              <c:ptCount val="1"/>
              <c:pt idx="0">
                <c:v>305.74200000000002</c:v>
              </c:pt>
            </c:numLit>
          </c:bubbleSize>
          <c:bubble3D val="0"/>
        </c:ser>
        <c:ser>
          <c:idx val="5"/>
          <c:order val="5"/>
          <c:tx>
            <c:v>StBA Weilheim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1.2799999713897705</c:v>
              </c:pt>
            </c:numLit>
          </c:xVal>
          <c:yVal>
            <c:numLit>
              <c:formatCode>General</c:formatCode>
              <c:ptCount val="1"/>
              <c:pt idx="0">
                <c:v>1.2200000286102295</c:v>
              </c:pt>
            </c:numLit>
          </c:yVal>
          <c:bubbleSize>
            <c:numLit>
              <c:formatCode>General</c:formatCode>
              <c:ptCount val="1"/>
              <c:pt idx="0">
                <c:v>361.14299999999997</c:v>
              </c:pt>
            </c:numLit>
          </c:bubbleSize>
          <c:bubble3D val="0"/>
        </c:ser>
        <c:ser>
          <c:idx val="6"/>
          <c:order val="6"/>
          <c:tx>
            <c:v>StBA Landshut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1.3700000047683716</c:v>
              </c:pt>
            </c:numLit>
          </c:xVal>
          <c:yVal>
            <c:numLit>
              <c:formatCode>General</c:formatCode>
              <c:ptCount val="1"/>
              <c:pt idx="0">
                <c:v>1.3600000143051147</c:v>
              </c:pt>
            </c:numLit>
          </c:yVal>
          <c:bubbleSize>
            <c:numLit>
              <c:formatCode>General</c:formatCode>
              <c:ptCount val="1"/>
              <c:pt idx="0">
                <c:v>227.18600000000001</c:v>
              </c:pt>
            </c:numLit>
          </c:bubbleSize>
          <c:bubble3D val="0"/>
        </c:ser>
        <c:ser>
          <c:idx val="7"/>
          <c:order val="7"/>
          <c:tx>
            <c:v>StBA Passau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1.2599999904632568</c:v>
              </c:pt>
            </c:numLit>
          </c:xVal>
          <c:yVal>
            <c:numLit>
              <c:formatCode>General</c:formatCode>
              <c:ptCount val="1"/>
              <c:pt idx="0">
                <c:v>1.2699999809265137</c:v>
              </c:pt>
            </c:numLit>
          </c:yVal>
          <c:bubbleSize>
            <c:numLit>
              <c:formatCode>General</c:formatCode>
              <c:ptCount val="1"/>
              <c:pt idx="0">
                <c:v>547.88800000000003</c:v>
              </c:pt>
            </c:numLit>
          </c:bubbleSize>
          <c:bubble3D val="0"/>
        </c:ser>
        <c:ser>
          <c:idx val="8"/>
          <c:order val="8"/>
          <c:tx>
            <c:v>StBA Amberg-Sulz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1.2300000190734863</c:v>
              </c:pt>
            </c:numLit>
          </c:xVal>
          <c:yVal>
            <c:numLit>
              <c:formatCode>General</c:formatCode>
              <c:ptCount val="1"/>
              <c:pt idx="0">
                <c:v>1.2799999713897705</c:v>
              </c:pt>
            </c:numLit>
          </c:yVal>
          <c:bubbleSize>
            <c:numLit>
              <c:formatCode>General</c:formatCode>
              <c:ptCount val="1"/>
              <c:pt idx="0">
                <c:v>413.39800000000002</c:v>
              </c:pt>
            </c:numLit>
          </c:bubbleSize>
          <c:bubble3D val="0"/>
        </c:ser>
        <c:ser>
          <c:idx val="9"/>
          <c:order val="9"/>
          <c:tx>
            <c:v>StBA Regensburg</c:v>
          </c:tx>
          <c:spPr>
            <a:solidFill>
              <a:srgbClr val="D9D9D9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1.2300000190734863</c:v>
              </c:pt>
            </c:numLit>
          </c:xVal>
          <c:yVal>
            <c:numLit>
              <c:formatCode>General</c:formatCode>
              <c:ptCount val="1"/>
              <c:pt idx="0">
                <c:v>1.2300000190734863</c:v>
              </c:pt>
            </c:numLit>
          </c:yVal>
          <c:bubbleSize>
            <c:numLit>
              <c:formatCode>General</c:formatCode>
              <c:ptCount val="1"/>
              <c:pt idx="0">
                <c:v>261.90100000000001</c:v>
              </c:pt>
            </c:numLit>
          </c:bubbleSize>
          <c:bubble3D val="0"/>
        </c:ser>
        <c:ser>
          <c:idx val="10"/>
          <c:order val="10"/>
          <c:tx>
            <c:v>StBA Bamberg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1.4600000381469727</c:v>
              </c:pt>
            </c:numLit>
          </c:xVal>
          <c:yVal>
            <c:numLit>
              <c:formatCode>General</c:formatCode>
              <c:ptCount val="1"/>
              <c:pt idx="0">
                <c:v>1.5199999809265137</c:v>
              </c:pt>
            </c:numLit>
          </c:yVal>
          <c:bubbleSize>
            <c:numLit>
              <c:formatCode>General</c:formatCode>
              <c:ptCount val="1"/>
              <c:pt idx="0">
                <c:v>344.47300000000001</c:v>
              </c:pt>
            </c:numLit>
          </c:bubbleSize>
          <c:bubble3D val="0"/>
        </c:ser>
        <c:ser>
          <c:idx val="11"/>
          <c:order val="11"/>
          <c:tx>
            <c:v>StBA Bayreuth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1.5700000524520874</c:v>
              </c:pt>
            </c:numLit>
          </c:xVal>
          <c:yVal>
            <c:numLit>
              <c:formatCode>General</c:formatCode>
              <c:ptCount val="1"/>
              <c:pt idx="0">
                <c:v>1.4800000190734863</c:v>
              </c:pt>
            </c:numLit>
          </c:yVal>
          <c:bubbleSize>
            <c:numLit>
              <c:formatCode>General</c:formatCode>
              <c:ptCount val="1"/>
              <c:pt idx="0">
                <c:v>402.70299999999997</c:v>
              </c:pt>
            </c:numLit>
          </c:bubbleSize>
          <c:bubble3D val="0"/>
        </c:ser>
        <c:ser>
          <c:idx val="12"/>
          <c:order val="12"/>
          <c:tx>
            <c:v>StBA Ansbach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1.9099999666213989</c:v>
              </c:pt>
            </c:numLit>
          </c:xVal>
          <c:yVal>
            <c:numLit>
              <c:formatCode>General</c:formatCode>
              <c:ptCount val="1"/>
              <c:pt idx="0">
                <c:v>1.6799999475479126</c:v>
              </c:pt>
            </c:numLit>
          </c:yVal>
          <c:bubbleSize>
            <c:numLit>
              <c:formatCode>General</c:formatCode>
              <c:ptCount val="1"/>
              <c:pt idx="0">
                <c:v>304.32600000000002</c:v>
              </c:pt>
            </c:numLit>
          </c:bubbleSize>
          <c:bubble3D val="0"/>
        </c:ser>
        <c:ser>
          <c:idx val="13"/>
          <c:order val="13"/>
          <c:tx>
            <c:v>StBA Nürnberg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1.1599999666213989</c:v>
              </c:pt>
            </c:numLit>
          </c:xVal>
          <c:yVal>
            <c:numLit>
              <c:formatCode>General</c:formatCode>
              <c:ptCount val="1"/>
              <c:pt idx="0">
                <c:v>1.2599999904632568</c:v>
              </c:pt>
            </c:numLit>
          </c:yVal>
          <c:bubbleSize>
            <c:numLit>
              <c:formatCode>General</c:formatCode>
              <c:ptCount val="1"/>
              <c:pt idx="0">
                <c:v>207.363</c:v>
              </c:pt>
            </c:numLit>
          </c:bubbleSize>
          <c:bubble3D val="0"/>
        </c:ser>
        <c:ser>
          <c:idx val="14"/>
          <c:order val="14"/>
          <c:tx>
            <c:v>StBA Aschaffenbu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1.3799999952316284</c:v>
              </c:pt>
            </c:numLit>
          </c:xVal>
          <c:yVal>
            <c:numLit>
              <c:formatCode>General</c:formatCode>
              <c:ptCount val="1"/>
              <c:pt idx="0">
                <c:v>1.6799999475479126</c:v>
              </c:pt>
            </c:numLit>
          </c:yVal>
          <c:bubbleSize>
            <c:numLit>
              <c:formatCode>General</c:formatCode>
              <c:ptCount val="1"/>
              <c:pt idx="0">
                <c:v>134.267</c:v>
              </c:pt>
            </c:numLit>
          </c:bubbleSize>
          <c:bubble3D val="0"/>
        </c:ser>
        <c:ser>
          <c:idx val="15"/>
          <c:order val="15"/>
          <c:tx>
            <c:v>StBA Schweinfurt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1.7599999904632568</c:v>
              </c:pt>
            </c:numLit>
          </c:xVal>
          <c:yVal>
            <c:numLit>
              <c:formatCode>General</c:formatCode>
              <c:ptCount val="1"/>
              <c:pt idx="0">
                <c:v>1.690000057220459</c:v>
              </c:pt>
            </c:numLit>
          </c:yVal>
          <c:bubbleSize>
            <c:numLit>
              <c:formatCode>General</c:formatCode>
              <c:ptCount val="1"/>
              <c:pt idx="0">
                <c:v>361.464</c:v>
              </c:pt>
            </c:numLit>
          </c:bubbleSize>
          <c:bubble3D val="0"/>
        </c:ser>
        <c:ser>
          <c:idx val="16"/>
          <c:order val="16"/>
          <c:tx>
            <c:v>StBA Würzburg</c:v>
          </c:tx>
          <c:spPr>
            <a:solidFill>
              <a:srgbClr val="FF7C8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1.5499999523162842</c:v>
              </c:pt>
            </c:numLit>
          </c:xVal>
          <c:yVal>
            <c:numLit>
              <c:formatCode>General</c:formatCode>
              <c:ptCount val="1"/>
              <c:pt idx="0">
                <c:v>1.6299999952316284</c:v>
              </c:pt>
            </c:numLit>
          </c:yVal>
          <c:bubbleSize>
            <c:numLit>
              <c:formatCode>General</c:formatCode>
              <c:ptCount val="1"/>
              <c:pt idx="0">
                <c:v>308.32900000000001</c:v>
              </c:pt>
            </c:numLit>
          </c:bubbleSize>
          <c:bubble3D val="0"/>
        </c:ser>
        <c:ser>
          <c:idx val="17"/>
          <c:order val="17"/>
          <c:tx>
            <c:v>StBA Augsburg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1.2799999713897705</c:v>
              </c:pt>
            </c:numLit>
          </c:xVal>
          <c:yVal>
            <c:numLit>
              <c:formatCode>General</c:formatCode>
              <c:ptCount val="1"/>
              <c:pt idx="0">
                <c:v>1.190000057220459</c:v>
              </c:pt>
            </c:numLit>
          </c:yVal>
          <c:bubbleSize>
            <c:numLit>
              <c:formatCode>General</c:formatCode>
              <c:ptCount val="1"/>
              <c:pt idx="0">
                <c:v>284.03899999999999</c:v>
              </c:pt>
            </c:numLit>
          </c:bubbleSize>
          <c:bubble3D val="0"/>
        </c:ser>
        <c:ser>
          <c:idx val="18"/>
          <c:order val="18"/>
          <c:tx>
            <c:v>StBA Kempten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1.3400000333786011</c:v>
              </c:pt>
            </c:numLit>
          </c:xVal>
          <c:yVal>
            <c:numLit>
              <c:formatCode>General</c:formatCode>
              <c:ptCount val="1"/>
              <c:pt idx="0">
                <c:v>1.25</c:v>
              </c:pt>
            </c:numLit>
          </c:yVal>
          <c:bubbleSize>
            <c:numLit>
              <c:formatCode>General</c:formatCode>
              <c:ptCount val="1"/>
              <c:pt idx="0">
                <c:v>423.00900000000001</c:v>
              </c:pt>
            </c:numLit>
          </c:bubbleSize>
          <c:bubble3D val="0"/>
        </c:ser>
        <c:ser>
          <c:idx val="19"/>
          <c:order val="19"/>
          <c:tx>
            <c:v>StBA Krumbach</c:v>
          </c:tx>
          <c:spPr>
            <a:solidFill>
              <a:srgbClr val="669B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1.190000057220459</c:v>
              </c:pt>
            </c:numLit>
          </c:xVal>
          <c:yVal>
            <c:numLit>
              <c:formatCode>General</c:formatCode>
              <c:ptCount val="1"/>
              <c:pt idx="0">
                <c:v>1.1799999475479126</c:v>
              </c:pt>
            </c:numLit>
          </c:yVal>
          <c:bubbleSize>
            <c:numLit>
              <c:formatCode>General</c:formatCode>
              <c:ptCount val="1"/>
              <c:pt idx="0">
                <c:v>166.37</c:v>
              </c:pt>
            </c:numLit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30"/>
        <c:showNegBubbles val="0"/>
        <c:axId val="192814080"/>
        <c:axId val="177422720"/>
      </c:bubbleChart>
      <c:valAx>
        <c:axId val="192814080"/>
        <c:scaling>
          <c:orientation val="minMax"/>
          <c:max val="2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500" b="1" i="0" u="non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l-PL"/>
                  <a:t>ZEB 2007</a:t>
                </a:r>
              </a:p>
            </c:rich>
          </c:tx>
          <c:layout/>
          <c:overlay val="0"/>
        </c:title>
        <c:numFmt formatCode="#.0" sourceLinked="0"/>
        <c:majorTickMark val="out"/>
        <c:minorTickMark val="none"/>
        <c:tickLblPos val="nextTo"/>
        <c:txPr>
          <a:bodyPr/>
          <a:lstStyle/>
          <a:p>
            <a:pPr>
              <a:defRPr sz="1000" b="0" i="0" u="none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l-PL"/>
          </a:p>
        </c:txPr>
        <c:crossAx val="177422720"/>
        <c:crosses val="autoZero"/>
        <c:crossBetween val="midCat"/>
        <c:majorUnit val="0.5"/>
        <c:minorUnit val="0.10000000149011612"/>
      </c:valAx>
      <c:valAx>
        <c:axId val="177422720"/>
        <c:scaling>
          <c:orientation val="minMax"/>
          <c:max val="2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500" b="1" i="0" u="non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l-PL"/>
                  <a:t>ZEB 2011</a:t>
                </a:r>
              </a:p>
            </c:rich>
          </c:tx>
          <c:layout/>
          <c:overlay val="0"/>
        </c:title>
        <c:numFmt formatCode="#.0" sourceLinked="0"/>
        <c:majorTickMark val="out"/>
        <c:minorTickMark val="none"/>
        <c:tickLblPos val="nextTo"/>
        <c:txPr>
          <a:bodyPr/>
          <a:lstStyle/>
          <a:p>
            <a:pPr>
              <a:defRPr sz="1000" b="0" i="0" u="none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l-PL"/>
          </a:p>
        </c:txPr>
        <c:crossAx val="192814080"/>
        <c:crosses val="autoZero"/>
        <c:crossBetween val="midCat"/>
        <c:majorUnit val="0.5"/>
        <c:minorUnit val="0.10000000149011612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</c:spPr>
    </c:plotArea>
    <c:plotVisOnly val="1"/>
    <c:dispBlanksAs val="gap"/>
    <c:showDLblsOverMax val="0"/>
  </c:chart>
  <c:userShapes r:id="rId2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88" workbookViewId="0" zoomToFit="1"/>
  </sheetViews>
  <pageMargins left="0.7" right="0.7" top="0.75" bottom="0.75" header="0.3" footer="0.3"/>
  <pageSetup paperSize="9" orientation="landscape" r:id="rId1"/>
  <headerFooter>
    <oddHeader xml:space="preserve">&amp;LZEB 2011 auf Bundesstraßen in Bayern
Statistische Auswertung der ZEB-Daten 2011
</oddHeader>
  </headerFooter>
  <drawing r:id="rId2"/>
  <legacyDrawing r:id="rId3"/>
</chartsheet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8523" cy="6083011"/>
    <xdr:graphicFrame macro="">
      <xdr:nvGraphicFramePr>
        <xdr:cNvPr id="2" name="Wykres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0.42644</cdr:x>
      <cdr:y>0.1498</cdr:y>
    </cdr:from>
    <cdr:to>
      <cdr:x>0.42644</cdr:x>
      <cdr:y>0.89569</cdr:y>
    </cdr:to>
    <cdr:sp macro="" textlink="">
      <cdr:nvSpPr>
        <cdr:cNvPr id="211" name="1b"/>
        <cdr:cNvSpPr/>
      </cdr:nvSpPr>
      <cdr:spPr>
        <a:xfrm xmlns:a="http://schemas.openxmlformats.org/drawingml/2006/main">
          <a:off x="3969484" y="911225"/>
          <a:ext cx="1" cy="4537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" h="4537273">
              <a:moveTo>
                <a:pt x="0" y="0"/>
              </a:moveTo>
              <a:lnTo>
                <a:pt x="0" y="4537272"/>
              </a:lnTo>
            </a:path>
          </a:pathLst>
        </a:custGeom>
        <a:ln xmlns:a="http://schemas.openxmlformats.org/drawingml/2006/main" w="25400" cap="flat" cmpd="sng" algn="ctr">
          <a:solidFill>
            <a:srgbClr val="669BFF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0.07539</cdr:x>
      <cdr:y>0.61971</cdr:y>
    </cdr:from>
    <cdr:to>
      <cdr:x>0.97551</cdr:x>
      <cdr:y>0.61971</cdr:y>
    </cdr:to>
    <cdr:sp macro="" textlink="">
      <cdr:nvSpPr>
        <cdr:cNvPr id="210" name="1a"/>
        <cdr:cNvSpPr/>
      </cdr:nvSpPr>
      <cdr:spPr>
        <a:xfrm xmlns:a="http://schemas.openxmlformats.org/drawingml/2006/main">
          <a:off x="701749" y="3769706"/>
          <a:ext cx="8378810" cy="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78810" h="1">
              <a:moveTo>
                <a:pt x="0" y="0"/>
              </a:moveTo>
              <a:lnTo>
                <a:pt x="8378809" y="0"/>
              </a:lnTo>
            </a:path>
          </a:pathLst>
        </a:custGeom>
        <a:ln xmlns:a="http://schemas.openxmlformats.org/drawingml/2006/main" w="25400" cap="flat" cmpd="sng" algn="ctr">
          <a:solidFill>
            <a:srgbClr val="669BFF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0.13344</cdr:x>
      <cdr:y>0.51737</cdr:y>
    </cdr:from>
    <cdr:to>
      <cdr:x>0.26586</cdr:x>
      <cdr:y>0.55053</cdr:y>
    </cdr:to>
    <cdr:sp macro="" textlink="">
      <cdr:nvSpPr>
        <cdr:cNvPr id="2" name="StBA Freising"/>
        <cdr:cNvSpPr/>
      </cdr:nvSpPr>
      <cdr:spPr>
        <a:xfrm xmlns:a="http://schemas.openxmlformats.org/drawingml/2006/main">
          <a:off x="1242147" y="3147146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Freising</a:t>
          </a:r>
        </a:p>
      </cdr:txBody>
    </cdr:sp>
  </cdr:relSizeAnchor>
  <cdr:relSizeAnchor xmlns:cdr="http://schemas.openxmlformats.org/drawingml/2006/chartDrawing">
    <cdr:from>
      <cdr:x>0.03716</cdr:x>
      <cdr:y>0.73184</cdr:y>
    </cdr:from>
    <cdr:to>
      <cdr:x>0.16958</cdr:x>
      <cdr:y>0.765</cdr:y>
    </cdr:to>
    <cdr:sp macro="" textlink="">
      <cdr:nvSpPr>
        <cdr:cNvPr id="3" name="StBA Ingolstadt"/>
        <cdr:cNvSpPr/>
      </cdr:nvSpPr>
      <cdr:spPr>
        <a:xfrm xmlns:a="http://schemas.openxmlformats.org/drawingml/2006/main">
          <a:off x="345931" y="4451783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Ingolstadt</a:t>
          </a:r>
        </a:p>
      </cdr:txBody>
    </cdr:sp>
  </cdr:relSizeAnchor>
  <cdr:relSizeAnchor xmlns:cdr="http://schemas.openxmlformats.org/drawingml/2006/chartDrawing">
    <cdr:from>
      <cdr:x>0.52367</cdr:x>
      <cdr:y>0.62709</cdr:y>
    </cdr:from>
    <cdr:to>
      <cdr:x>0.65971</cdr:x>
      <cdr:y>0.66209</cdr:y>
    </cdr:to>
    <cdr:sp macro="" textlink="">
      <cdr:nvSpPr>
        <cdr:cNvPr id="4" name="StBA Rosenheim"/>
        <cdr:cNvSpPr/>
      </cdr:nvSpPr>
      <cdr:spPr>
        <a:xfrm xmlns:a="http://schemas.openxmlformats.org/drawingml/2006/main">
          <a:off x="4874637" y="3814618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Rosenheim</a:t>
          </a:r>
        </a:p>
      </cdr:txBody>
    </cdr:sp>
  </cdr:relSizeAnchor>
  <cdr:relSizeAnchor xmlns:cdr="http://schemas.openxmlformats.org/drawingml/2006/chartDrawing">
    <cdr:from>
      <cdr:x>0.16833</cdr:x>
      <cdr:y>0.47526</cdr:y>
    </cdr:from>
    <cdr:to>
      <cdr:x>0.30075</cdr:x>
      <cdr:y>0.50841</cdr:y>
    </cdr:to>
    <cdr:sp macro="" textlink="">
      <cdr:nvSpPr>
        <cdr:cNvPr id="5" name="StBA Traunstein"/>
        <cdr:cNvSpPr/>
      </cdr:nvSpPr>
      <cdr:spPr>
        <a:xfrm xmlns:a="http://schemas.openxmlformats.org/drawingml/2006/main">
          <a:off x="1566863" y="2890982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Traunstein</a:t>
          </a:r>
        </a:p>
      </cdr:txBody>
    </cdr:sp>
  </cdr:relSizeAnchor>
  <cdr:relSizeAnchor xmlns:cdr="http://schemas.openxmlformats.org/drawingml/2006/chartDrawing">
    <cdr:from>
      <cdr:x>0.42476</cdr:x>
      <cdr:y>0.77715</cdr:y>
    </cdr:from>
    <cdr:to>
      <cdr:x>0.56079</cdr:x>
      <cdr:y>0.81215</cdr:y>
    </cdr:to>
    <cdr:sp macro="" textlink="">
      <cdr:nvSpPr>
        <cdr:cNvPr id="6" name="StBA Weilheim"/>
        <cdr:cNvSpPr/>
      </cdr:nvSpPr>
      <cdr:spPr>
        <a:xfrm xmlns:a="http://schemas.openxmlformats.org/drawingml/2006/main">
          <a:off x="3953886" y="4727431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Weilheim</a:t>
          </a:r>
        </a:p>
      </cdr:txBody>
    </cdr:sp>
  </cdr:relSizeAnchor>
  <cdr:relSizeAnchor xmlns:cdr="http://schemas.openxmlformats.org/drawingml/2006/chartDrawing">
    <cdr:from>
      <cdr:x>0.49267</cdr:x>
      <cdr:y>0.67953</cdr:y>
    </cdr:from>
    <cdr:to>
      <cdr:x>0.6287</cdr:x>
      <cdr:y>0.71453</cdr:y>
    </cdr:to>
    <cdr:sp macro="" textlink="">
      <cdr:nvSpPr>
        <cdr:cNvPr id="7" name="StBA Landshut"/>
        <cdr:cNvSpPr/>
      </cdr:nvSpPr>
      <cdr:spPr>
        <a:xfrm xmlns:a="http://schemas.openxmlformats.org/drawingml/2006/main">
          <a:off x="4586000" y="4133561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Landshut</a:t>
          </a:r>
        </a:p>
      </cdr:txBody>
    </cdr:sp>
  </cdr:relSizeAnchor>
  <cdr:relSizeAnchor xmlns:cdr="http://schemas.openxmlformats.org/drawingml/2006/chartDrawing">
    <cdr:from>
      <cdr:x>0.1184</cdr:x>
      <cdr:y>0.56268</cdr:y>
    </cdr:from>
    <cdr:to>
      <cdr:x>0.25082</cdr:x>
      <cdr:y>0.59584</cdr:y>
    </cdr:to>
    <cdr:sp macro="" textlink="">
      <cdr:nvSpPr>
        <cdr:cNvPr id="8" name="StBA Passau"/>
        <cdr:cNvSpPr/>
      </cdr:nvSpPr>
      <cdr:spPr>
        <a:xfrm xmlns:a="http://schemas.openxmlformats.org/drawingml/2006/main">
          <a:off x="1102159" y="3422795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Passau</a:t>
          </a:r>
        </a:p>
      </cdr:txBody>
    </cdr:sp>
  </cdr:relSizeAnchor>
  <cdr:relSizeAnchor xmlns:cdr="http://schemas.openxmlformats.org/drawingml/2006/chartDrawing">
    <cdr:from>
      <cdr:x>0.09112</cdr:x>
      <cdr:y>0.6055</cdr:y>
    </cdr:from>
    <cdr:to>
      <cdr:x>0.22354</cdr:x>
      <cdr:y>0.63866</cdr:y>
    </cdr:to>
    <cdr:sp macro="" textlink="">
      <cdr:nvSpPr>
        <cdr:cNvPr id="9" name="StBA Amberg-Sulz"/>
        <cdr:cNvSpPr/>
      </cdr:nvSpPr>
      <cdr:spPr>
        <a:xfrm xmlns:a="http://schemas.openxmlformats.org/drawingml/2006/main">
          <a:off x="848158" y="3683289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Amberg-Sulz</a:t>
          </a:r>
        </a:p>
      </cdr:txBody>
    </cdr:sp>
  </cdr:relSizeAnchor>
  <cdr:relSizeAnchor xmlns:cdr="http://schemas.openxmlformats.org/drawingml/2006/chartDrawing">
    <cdr:from>
      <cdr:x>0.10042</cdr:x>
      <cdr:y>0.84133</cdr:y>
    </cdr:from>
    <cdr:to>
      <cdr:x>0.23645</cdr:x>
      <cdr:y>0.87633</cdr:y>
    </cdr:to>
    <cdr:sp macro="" textlink="">
      <cdr:nvSpPr>
        <cdr:cNvPr id="10" name="StBA Regensburg"/>
        <cdr:cNvSpPr/>
      </cdr:nvSpPr>
      <cdr:spPr>
        <a:xfrm xmlns:a="http://schemas.openxmlformats.org/drawingml/2006/main">
          <a:off x="934750" y="5117812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D9D9D9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Regensburg</a:t>
          </a:r>
        </a:p>
      </cdr:txBody>
    </cdr:sp>
  </cdr:relSizeAnchor>
  <cdr:relSizeAnchor xmlns:cdr="http://schemas.openxmlformats.org/drawingml/2006/chartDrawing">
    <cdr:from>
      <cdr:x>0.32135</cdr:x>
      <cdr:y>0.41488</cdr:y>
    </cdr:from>
    <cdr:to>
      <cdr:x>0.45377</cdr:x>
      <cdr:y>0.44803</cdr:y>
    </cdr:to>
    <cdr:sp macro="" textlink="">
      <cdr:nvSpPr>
        <cdr:cNvPr id="11" name="StBA Bamberg"/>
        <cdr:cNvSpPr/>
      </cdr:nvSpPr>
      <cdr:spPr>
        <a:xfrm xmlns:a="http://schemas.openxmlformats.org/drawingml/2006/main">
          <a:off x="2991283" y="2523692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Bamberg</a:t>
          </a:r>
        </a:p>
      </cdr:txBody>
    </cdr:sp>
  </cdr:relSizeAnchor>
  <cdr:relSizeAnchor xmlns:cdr="http://schemas.openxmlformats.org/drawingml/2006/chartDrawing">
    <cdr:from>
      <cdr:x>0.62352</cdr:x>
      <cdr:y>0.56197</cdr:y>
    </cdr:from>
    <cdr:to>
      <cdr:x>0.75955</cdr:x>
      <cdr:y>0.59697</cdr:y>
    </cdr:to>
    <cdr:sp macro="" textlink="">
      <cdr:nvSpPr>
        <cdr:cNvPr id="12" name="StBA Bayreuth"/>
        <cdr:cNvSpPr/>
      </cdr:nvSpPr>
      <cdr:spPr>
        <a:xfrm xmlns:a="http://schemas.openxmlformats.org/drawingml/2006/main">
          <a:off x="5804045" y="3418464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Bayreuth</a:t>
          </a:r>
        </a:p>
      </cdr:txBody>
    </cdr:sp>
  </cdr:relSizeAnchor>
  <cdr:relSizeAnchor xmlns:cdr="http://schemas.openxmlformats.org/drawingml/2006/chartDrawing">
    <cdr:from>
      <cdr:x>0.74907</cdr:x>
      <cdr:y>0.44963</cdr:y>
    </cdr:from>
    <cdr:to>
      <cdr:x>0.8851</cdr:x>
      <cdr:y>0.48463</cdr:y>
    </cdr:to>
    <cdr:sp macro="" textlink="">
      <cdr:nvSpPr>
        <cdr:cNvPr id="13" name="StBA Ansbach"/>
        <cdr:cNvSpPr/>
      </cdr:nvSpPr>
      <cdr:spPr>
        <a:xfrm xmlns:a="http://schemas.openxmlformats.org/drawingml/2006/main">
          <a:off x="6972734" y="2735118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Ansbach</a:t>
          </a:r>
        </a:p>
      </cdr:txBody>
    </cdr:sp>
  </cdr:relSizeAnchor>
  <cdr:relSizeAnchor xmlns:cdr="http://schemas.openxmlformats.org/drawingml/2006/chartDrawing">
    <cdr:from>
      <cdr:x>0.03538</cdr:x>
      <cdr:y>0.659</cdr:y>
    </cdr:from>
    <cdr:to>
      <cdr:x>0.1678</cdr:x>
      <cdr:y>0.69216</cdr:y>
    </cdr:to>
    <cdr:sp macro="" textlink="">
      <cdr:nvSpPr>
        <cdr:cNvPr id="14" name="StBA Nürnberg"/>
        <cdr:cNvSpPr/>
      </cdr:nvSpPr>
      <cdr:spPr>
        <a:xfrm xmlns:a="http://schemas.openxmlformats.org/drawingml/2006/main">
          <a:off x="329334" y="4008726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Nürnberg</a:t>
          </a:r>
        </a:p>
      </cdr:txBody>
    </cdr:sp>
  </cdr:relSizeAnchor>
  <cdr:relSizeAnchor xmlns:cdr="http://schemas.openxmlformats.org/drawingml/2006/chartDrawing">
    <cdr:from>
      <cdr:x>0.24616</cdr:x>
      <cdr:y>0.31796</cdr:y>
    </cdr:from>
    <cdr:to>
      <cdr:x>0.37858</cdr:x>
      <cdr:y>0.35112</cdr:y>
    </cdr:to>
    <cdr:sp macro="" textlink="">
      <cdr:nvSpPr>
        <cdr:cNvPr id="15" name="StBA Aschaffenbu"/>
        <cdr:cNvSpPr/>
      </cdr:nvSpPr>
      <cdr:spPr>
        <a:xfrm xmlns:a="http://schemas.openxmlformats.org/drawingml/2006/main">
          <a:off x="2291340" y="1934152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Aschaffenbu</a:t>
          </a:r>
        </a:p>
      </cdr:txBody>
    </cdr:sp>
  </cdr:relSizeAnchor>
  <cdr:relSizeAnchor xmlns:cdr="http://schemas.openxmlformats.org/drawingml/2006/chartDrawing">
    <cdr:from>
      <cdr:x>0.76166</cdr:x>
      <cdr:y>0.2711</cdr:y>
    </cdr:from>
    <cdr:to>
      <cdr:x>0.89769</cdr:x>
      <cdr:y>0.3061</cdr:y>
    </cdr:to>
    <cdr:sp macro="" textlink="">
      <cdr:nvSpPr>
        <cdr:cNvPr id="16" name="StBA Schweinfurt"/>
        <cdr:cNvSpPr/>
      </cdr:nvSpPr>
      <cdr:spPr>
        <a:xfrm xmlns:a="http://schemas.openxmlformats.org/drawingml/2006/main">
          <a:off x="7089920" y="1649123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Schweinfurt</a:t>
          </a:r>
        </a:p>
      </cdr:txBody>
    </cdr:sp>
  </cdr:relSizeAnchor>
  <cdr:relSizeAnchor xmlns:cdr="http://schemas.openxmlformats.org/drawingml/2006/chartDrawing">
    <cdr:from>
      <cdr:x>0.56484</cdr:x>
      <cdr:y>0.27976</cdr:y>
    </cdr:from>
    <cdr:to>
      <cdr:x>0.69726</cdr:x>
      <cdr:y>0.31292</cdr:y>
    </cdr:to>
    <cdr:sp macro="" textlink="">
      <cdr:nvSpPr>
        <cdr:cNvPr id="17" name="StBA Würzburg"/>
        <cdr:cNvSpPr/>
      </cdr:nvSpPr>
      <cdr:spPr>
        <a:xfrm xmlns:a="http://schemas.openxmlformats.org/drawingml/2006/main">
          <a:off x="5257800" y="1701800"/>
          <a:ext cx="1232648" cy="201706"/>
        </a:xfrm>
        <a:prstGeom xmlns:a="http://schemas.openxmlformats.org/drawingml/2006/main" prst="rect">
          <a:avLst/>
        </a:prstGeom>
        <a:solidFill xmlns:a="http://schemas.openxmlformats.org/drawingml/2006/main">
          <a:srgbClr val="FF7C80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Würzburg</a:t>
          </a:r>
        </a:p>
      </cdr:txBody>
    </cdr:sp>
  </cdr:relSizeAnchor>
  <cdr:relSizeAnchor xmlns:cdr="http://schemas.openxmlformats.org/drawingml/2006/chartDrawing">
    <cdr:from>
      <cdr:x>0.38057</cdr:x>
      <cdr:y>0.8233</cdr:y>
    </cdr:from>
    <cdr:to>
      <cdr:x>0.51661</cdr:x>
      <cdr:y>0.8583</cdr:y>
    </cdr:to>
    <cdr:sp macro="" textlink="">
      <cdr:nvSpPr>
        <cdr:cNvPr id="18" name="StBA Augsburg"/>
        <cdr:cNvSpPr/>
      </cdr:nvSpPr>
      <cdr:spPr>
        <a:xfrm xmlns:a="http://schemas.openxmlformats.org/drawingml/2006/main">
          <a:off x="3542579" y="5008130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Augsburg</a:t>
          </a:r>
        </a:p>
      </cdr:txBody>
    </cdr:sp>
  </cdr:relSizeAnchor>
  <cdr:relSizeAnchor xmlns:cdr="http://schemas.openxmlformats.org/drawingml/2006/chartDrawing">
    <cdr:from>
      <cdr:x>0.45143</cdr:x>
      <cdr:y>0.73409</cdr:y>
    </cdr:from>
    <cdr:to>
      <cdr:x>0.58746</cdr:x>
      <cdr:y>0.76909</cdr:y>
    </cdr:to>
    <cdr:sp macro="" textlink="">
      <cdr:nvSpPr>
        <cdr:cNvPr id="19" name="StBA Kempten"/>
        <cdr:cNvSpPr/>
      </cdr:nvSpPr>
      <cdr:spPr>
        <a:xfrm xmlns:a="http://schemas.openxmlformats.org/drawingml/2006/main">
          <a:off x="4202113" y="4465493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Kempten</a:t>
          </a:r>
        </a:p>
      </cdr:txBody>
    </cdr:sp>
  </cdr:relSizeAnchor>
  <cdr:relSizeAnchor xmlns:cdr="http://schemas.openxmlformats.org/drawingml/2006/chartDrawing">
    <cdr:from>
      <cdr:x>0.08476</cdr:x>
      <cdr:y>0.79952</cdr:y>
    </cdr:from>
    <cdr:to>
      <cdr:x>0.22079</cdr:x>
      <cdr:y>0.83452</cdr:y>
    </cdr:to>
    <cdr:sp macro="" textlink="">
      <cdr:nvSpPr>
        <cdr:cNvPr id="20" name="StBA Krumbach"/>
        <cdr:cNvSpPr/>
      </cdr:nvSpPr>
      <cdr:spPr>
        <a:xfrm xmlns:a="http://schemas.openxmlformats.org/drawingml/2006/main">
          <a:off x="788988" y="4863480"/>
          <a:ext cx="1266265" cy="212912"/>
        </a:xfrm>
        <a:prstGeom xmlns:a="http://schemas.openxmlformats.org/drawingml/2006/main" prst="rect">
          <a:avLst/>
        </a:prstGeom>
        <a:solidFill xmlns:a="http://schemas.openxmlformats.org/drawingml/2006/main">
          <a:srgbClr val="669BFF"/>
        </a:solidFill>
        <a:ln xmlns:a="http://schemas.openxmlformats.org/drawingml/2006/main" w="952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indent="0" algn="ctr"/>
          <a:r>
            <a:rPr lang="pl-PL" sz="800" b="0">
              <a:solidFill>
                <a:schemeClr val="tx1">
                  <a:lumMod val="100000"/>
                </a:schemeClr>
              </a:solidFill>
              <a:latin typeface="Calibri"/>
              <a:ea typeface="+mn-ea"/>
              <a:cs typeface="+mn-cs"/>
            </a:rPr>
            <a:t>StBA Krumbach</a:t>
          </a:r>
        </a:p>
      </cdr:txBody>
    </cdr:sp>
  </cdr:relSizeAnchor>
  <cdr:relSizeAnchor xmlns:cdr="http://schemas.openxmlformats.org/drawingml/2006/chartDrawing">
    <cdr:from>
      <cdr:x>0.26586</cdr:x>
      <cdr:y>0.53395</cdr:y>
    </cdr:from>
    <cdr:to>
      <cdr:x>0.35443</cdr:x>
      <cdr:y>0.65701</cdr:y>
    </cdr:to>
    <cdr:sp macro="" textlink="">
      <cdr:nvSpPr>
        <cdr:cNvPr id="212" name="2"/>
        <cdr:cNvSpPr/>
      </cdr:nvSpPr>
      <cdr:spPr>
        <a:xfrm xmlns:a="http://schemas.openxmlformats.org/drawingml/2006/main">
          <a:off x="2474795" y="3247999"/>
          <a:ext cx="824385" cy="748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4385" h="748572">
              <a:moveTo>
                <a:pt x="824384" y="748571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0.16958</cdr:x>
      <cdr:y>0.74842</cdr:y>
    </cdr:from>
    <cdr:to>
      <cdr:x>0.2014</cdr:x>
      <cdr:y>0.77635</cdr:y>
    </cdr:to>
    <cdr:sp macro="" textlink="">
      <cdr:nvSpPr>
        <cdr:cNvPr id="213" name="3"/>
        <cdr:cNvSpPr/>
      </cdr:nvSpPr>
      <cdr:spPr>
        <a:xfrm xmlns:a="http://schemas.openxmlformats.org/drawingml/2006/main">
          <a:off x="1578579" y="4552636"/>
          <a:ext cx="296204" cy="169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204" h="169898">
              <a:moveTo>
                <a:pt x="296203" y="169897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0.48044</cdr:x>
      <cdr:y>0.61225</cdr:y>
    </cdr:from>
    <cdr:to>
      <cdr:x>0.52367</cdr:x>
      <cdr:y>0.64459</cdr:y>
    </cdr:to>
    <cdr:sp macro="" textlink="">
      <cdr:nvSpPr>
        <cdr:cNvPr id="214" name="4"/>
        <cdr:cNvSpPr/>
      </cdr:nvSpPr>
      <cdr:spPr>
        <a:xfrm xmlns:a="http://schemas.openxmlformats.org/drawingml/2006/main">
          <a:off x="4472213" y="3724334"/>
          <a:ext cx="402425" cy="196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425" h="196741">
              <a:moveTo>
                <a:pt x="0" y="0"/>
              </a:moveTo>
              <a:lnTo>
                <a:pt x="148424" y="196740"/>
              </a:lnTo>
              <a:lnTo>
                <a:pt x="402424" y="19674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0.30075</cdr:x>
      <cdr:y>0.49183</cdr:y>
    </cdr:from>
    <cdr:to>
      <cdr:x>0.36343</cdr:x>
      <cdr:y>0.63463</cdr:y>
    </cdr:to>
    <cdr:sp macro="" textlink="">
      <cdr:nvSpPr>
        <cdr:cNvPr id="215" name="5"/>
        <cdr:cNvSpPr/>
      </cdr:nvSpPr>
      <cdr:spPr>
        <a:xfrm xmlns:a="http://schemas.openxmlformats.org/drawingml/2006/main">
          <a:off x="2799511" y="2991835"/>
          <a:ext cx="583458" cy="868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3458" h="868618">
              <a:moveTo>
                <a:pt x="583457" y="868617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0.32742</cdr:x>
      <cdr:y>0.73159</cdr:y>
    </cdr:from>
    <cdr:to>
      <cdr:x>0.42476</cdr:x>
      <cdr:y>0.79465</cdr:y>
    </cdr:to>
    <cdr:sp macro="" textlink="">
      <cdr:nvSpPr>
        <cdr:cNvPr id="216" name="6"/>
        <cdr:cNvSpPr/>
      </cdr:nvSpPr>
      <cdr:spPr>
        <a:xfrm xmlns:a="http://schemas.openxmlformats.org/drawingml/2006/main">
          <a:off x="3047815" y="4450297"/>
          <a:ext cx="906072" cy="383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6072" h="383591">
              <a:moveTo>
                <a:pt x="0" y="0"/>
              </a:moveTo>
              <a:lnTo>
                <a:pt x="652071" y="383590"/>
              </a:lnTo>
              <a:lnTo>
                <a:pt x="906071" y="38359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0.40843</cdr:x>
      <cdr:y>0.62717</cdr:y>
    </cdr:from>
    <cdr:to>
      <cdr:x>0.49267</cdr:x>
      <cdr:y>0.69703</cdr:y>
    </cdr:to>
    <cdr:sp macro="" textlink="">
      <cdr:nvSpPr>
        <cdr:cNvPr id="217" name="7"/>
        <cdr:cNvSpPr/>
      </cdr:nvSpPr>
      <cdr:spPr>
        <a:xfrm xmlns:a="http://schemas.openxmlformats.org/drawingml/2006/main">
          <a:off x="3801908" y="3815079"/>
          <a:ext cx="784093" cy="424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093" h="424939">
              <a:moveTo>
                <a:pt x="0" y="0"/>
              </a:moveTo>
              <a:lnTo>
                <a:pt x="530092" y="424938"/>
              </a:lnTo>
              <a:lnTo>
                <a:pt x="784092" y="424938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0.25082</cdr:x>
      <cdr:y>0.57926</cdr:y>
    </cdr:from>
    <cdr:to>
      <cdr:x>0.30942</cdr:x>
      <cdr:y>0.6943</cdr:y>
    </cdr:to>
    <cdr:sp macro="" textlink="">
      <cdr:nvSpPr>
        <cdr:cNvPr id="218" name="8"/>
        <cdr:cNvSpPr/>
      </cdr:nvSpPr>
      <cdr:spPr>
        <a:xfrm xmlns:a="http://schemas.openxmlformats.org/drawingml/2006/main">
          <a:off x="2334807" y="3523648"/>
          <a:ext cx="545433" cy="699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433" h="699787">
              <a:moveTo>
                <a:pt x="545432" y="699786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0.22354</cdr:x>
      <cdr:y>0.62208</cdr:y>
    </cdr:from>
    <cdr:to>
      <cdr:x>0.28242</cdr:x>
      <cdr:y>0.68684</cdr:y>
    </cdr:to>
    <cdr:sp macro="" textlink="">
      <cdr:nvSpPr>
        <cdr:cNvPr id="219" name="9"/>
        <cdr:cNvSpPr/>
      </cdr:nvSpPr>
      <cdr:spPr>
        <a:xfrm xmlns:a="http://schemas.openxmlformats.org/drawingml/2006/main">
          <a:off x="2080806" y="3784142"/>
          <a:ext cx="548070" cy="393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070" h="393920">
              <a:moveTo>
                <a:pt x="548069" y="393919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0.23645</cdr:x>
      <cdr:y>0.72414</cdr:y>
    </cdr:from>
    <cdr:to>
      <cdr:x>0.28242</cdr:x>
      <cdr:y>0.85883</cdr:y>
    </cdr:to>
    <cdr:sp macro="" textlink="">
      <cdr:nvSpPr>
        <cdr:cNvPr id="220" name="10"/>
        <cdr:cNvSpPr/>
      </cdr:nvSpPr>
      <cdr:spPr>
        <a:xfrm xmlns:a="http://schemas.openxmlformats.org/drawingml/2006/main">
          <a:off x="2201015" y="4404925"/>
          <a:ext cx="427861" cy="819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7861" h="819344">
              <a:moveTo>
                <a:pt x="427860" y="0"/>
              </a:moveTo>
              <a:lnTo>
                <a:pt x="254000" y="819343"/>
              </a:lnTo>
              <a:lnTo>
                <a:pt x="0" y="819343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0.45377</cdr:x>
      <cdr:y>0.43145</cdr:y>
    </cdr:from>
    <cdr:to>
      <cdr:x>0.48944</cdr:x>
      <cdr:y>0.50783</cdr:y>
    </cdr:to>
    <cdr:sp macro="" textlink="">
      <cdr:nvSpPr>
        <cdr:cNvPr id="221" name="11"/>
        <cdr:cNvSpPr/>
      </cdr:nvSpPr>
      <cdr:spPr>
        <a:xfrm xmlns:a="http://schemas.openxmlformats.org/drawingml/2006/main">
          <a:off x="4223931" y="2624545"/>
          <a:ext cx="332071" cy="464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071" h="464572">
              <a:moveTo>
                <a:pt x="332070" y="464571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0.58846</cdr:x>
      <cdr:y>0.53766</cdr:y>
    </cdr:from>
    <cdr:to>
      <cdr:x>0.62352</cdr:x>
      <cdr:y>0.57947</cdr:y>
    </cdr:to>
    <cdr:sp macro="" textlink="">
      <cdr:nvSpPr>
        <cdr:cNvPr id="222" name="12"/>
        <cdr:cNvSpPr/>
      </cdr:nvSpPr>
      <cdr:spPr>
        <a:xfrm xmlns:a="http://schemas.openxmlformats.org/drawingml/2006/main">
          <a:off x="5477671" y="3270606"/>
          <a:ext cx="326375" cy="2543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375" h="254315">
              <a:moveTo>
                <a:pt x="0" y="0"/>
              </a:moveTo>
              <a:lnTo>
                <a:pt x="72374" y="254314"/>
              </a:lnTo>
              <a:lnTo>
                <a:pt x="326374" y="254314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0.8851</cdr:x>
      <cdr:y>0.38848</cdr:y>
    </cdr:from>
    <cdr:to>
      <cdr:x>0.91239</cdr:x>
      <cdr:y>0.46713</cdr:y>
    </cdr:to>
    <cdr:sp macro="" textlink="">
      <cdr:nvSpPr>
        <cdr:cNvPr id="223" name="13"/>
        <cdr:cNvSpPr/>
      </cdr:nvSpPr>
      <cdr:spPr>
        <a:xfrm xmlns:a="http://schemas.openxmlformats.org/drawingml/2006/main">
          <a:off x="8238999" y="2363152"/>
          <a:ext cx="254001" cy="478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001" h="478423">
              <a:moveTo>
                <a:pt x="87466" y="0"/>
              </a:moveTo>
              <a:lnTo>
                <a:pt x="254000" y="478422"/>
              </a:lnTo>
              <a:lnTo>
                <a:pt x="0" y="478422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0.1678</cdr:x>
      <cdr:y>0.67558</cdr:y>
    </cdr:from>
    <cdr:to>
      <cdr:x>0.21941</cdr:x>
      <cdr:y>0.70176</cdr:y>
    </cdr:to>
    <cdr:sp macro="" textlink="">
      <cdr:nvSpPr>
        <cdr:cNvPr id="224" name="14"/>
        <cdr:cNvSpPr/>
      </cdr:nvSpPr>
      <cdr:spPr>
        <a:xfrm xmlns:a="http://schemas.openxmlformats.org/drawingml/2006/main">
          <a:off x="1561982" y="4109579"/>
          <a:ext cx="480377" cy="159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0377" h="159228">
              <a:moveTo>
                <a:pt x="480376" y="159227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0.37858</cdr:x>
      <cdr:y>0.33454</cdr:y>
    </cdr:from>
    <cdr:to>
      <cdr:x>0.41743</cdr:x>
      <cdr:y>0.38848</cdr:y>
    </cdr:to>
    <cdr:sp macro="" textlink="">
      <cdr:nvSpPr>
        <cdr:cNvPr id="225" name="15"/>
        <cdr:cNvSpPr/>
      </cdr:nvSpPr>
      <cdr:spPr>
        <a:xfrm xmlns:a="http://schemas.openxmlformats.org/drawingml/2006/main">
          <a:off x="3523988" y="2035005"/>
          <a:ext cx="361710" cy="328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710" h="328148">
              <a:moveTo>
                <a:pt x="361709" y="328147"/>
              </a:moveTo>
              <a:lnTo>
                <a:pt x="254000" y="0"/>
              </a:lnTo>
              <a:lnTo>
                <a:pt x="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0.73437</cdr:x>
      <cdr:y>0.2886</cdr:y>
    </cdr:from>
    <cdr:to>
      <cdr:x>0.76166</cdr:x>
      <cdr:y>0.38103</cdr:y>
    </cdr:to>
    <cdr:sp macro="" textlink="">
      <cdr:nvSpPr>
        <cdr:cNvPr id="226" name="16"/>
        <cdr:cNvSpPr/>
      </cdr:nvSpPr>
      <cdr:spPr>
        <a:xfrm xmlns:a="http://schemas.openxmlformats.org/drawingml/2006/main">
          <a:off x="6835920" y="1755579"/>
          <a:ext cx="254001" cy="562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001" h="562201">
              <a:moveTo>
                <a:pt x="233724" y="562200"/>
              </a:moveTo>
              <a:lnTo>
                <a:pt x="0" y="0"/>
              </a:lnTo>
              <a:lnTo>
                <a:pt x="25400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0.53755</cdr:x>
      <cdr:y>0.29634</cdr:y>
    </cdr:from>
    <cdr:to>
      <cdr:x>0.57046</cdr:x>
      <cdr:y>0.42578</cdr:y>
    </cdr:to>
    <cdr:sp macro="" textlink="">
      <cdr:nvSpPr>
        <cdr:cNvPr id="227" name="17"/>
        <cdr:cNvSpPr/>
      </cdr:nvSpPr>
      <cdr:spPr>
        <a:xfrm xmlns:a="http://schemas.openxmlformats.org/drawingml/2006/main">
          <a:off x="5003800" y="1802653"/>
          <a:ext cx="306295" cy="787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295" h="787364">
              <a:moveTo>
                <a:pt x="306294" y="787363"/>
              </a:moveTo>
              <a:lnTo>
                <a:pt x="0" y="0"/>
              </a:lnTo>
              <a:lnTo>
                <a:pt x="254000" y="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0.32742</cdr:x>
      <cdr:y>0.75397</cdr:y>
    </cdr:from>
    <cdr:to>
      <cdr:x>0.38057</cdr:x>
      <cdr:y>0.8408</cdr:y>
    </cdr:to>
    <cdr:sp macro="" textlink="">
      <cdr:nvSpPr>
        <cdr:cNvPr id="228" name="18"/>
        <cdr:cNvSpPr/>
      </cdr:nvSpPr>
      <cdr:spPr>
        <a:xfrm xmlns:a="http://schemas.openxmlformats.org/drawingml/2006/main">
          <a:off x="3047815" y="4586415"/>
          <a:ext cx="494765" cy="528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765" h="528172">
              <a:moveTo>
                <a:pt x="0" y="0"/>
              </a:moveTo>
              <a:lnTo>
                <a:pt x="240764" y="528171"/>
              </a:lnTo>
              <a:lnTo>
                <a:pt x="494764" y="528171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0.38143</cdr:x>
      <cdr:y>0.70922</cdr:y>
    </cdr:from>
    <cdr:to>
      <cdr:x>0.45143</cdr:x>
      <cdr:y>0.75159</cdr:y>
    </cdr:to>
    <cdr:sp macro="" textlink="">
      <cdr:nvSpPr>
        <cdr:cNvPr id="229" name="19"/>
        <cdr:cNvSpPr/>
      </cdr:nvSpPr>
      <cdr:spPr>
        <a:xfrm xmlns:a="http://schemas.openxmlformats.org/drawingml/2006/main">
          <a:off x="3550545" y="4314179"/>
          <a:ext cx="651569" cy="257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1569" h="257771">
              <a:moveTo>
                <a:pt x="0" y="0"/>
              </a:moveTo>
              <a:lnTo>
                <a:pt x="397568" y="257770"/>
              </a:lnTo>
              <a:lnTo>
                <a:pt x="651568" y="257770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  <cdr:relSizeAnchor xmlns:cdr="http://schemas.openxmlformats.org/drawingml/2006/chartDrawing">
    <cdr:from>
      <cdr:x>0.22079</cdr:x>
      <cdr:y>0.76143</cdr:y>
    </cdr:from>
    <cdr:to>
      <cdr:x>0.24808</cdr:x>
      <cdr:y>0.81702</cdr:y>
    </cdr:to>
    <cdr:sp macro="" textlink="">
      <cdr:nvSpPr>
        <cdr:cNvPr id="230" name="20"/>
        <cdr:cNvSpPr/>
      </cdr:nvSpPr>
      <cdr:spPr>
        <a:xfrm xmlns:a="http://schemas.openxmlformats.org/drawingml/2006/main">
          <a:off x="2055253" y="4631788"/>
          <a:ext cx="254001" cy="338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001" h="338149">
              <a:moveTo>
                <a:pt x="238470" y="0"/>
              </a:moveTo>
              <a:lnTo>
                <a:pt x="254000" y="338148"/>
              </a:lnTo>
              <a:lnTo>
                <a:pt x="0" y="338148"/>
              </a:lnTo>
            </a:path>
          </a:pathLst>
        </a:custGeom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l-PL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2241175</xdr:colOff>
      <xdr:row>15</xdr:row>
      <xdr:rowOff>11206</xdr:rowOff>
    </xdr:from>
    <xdr:to>
      <xdr:col>2</xdr:col>
      <xdr:colOff>168088</xdr:colOff>
      <xdr:row>16</xdr:row>
      <xdr:rowOff>22412</xdr:rowOff>
    </xdr:to>
    <xdr:sp macro="" textlink="">
      <xdr:nvSpPr>
        <xdr:cNvPr id="4" name="Prostokąt 1"/>
        <xdr:cNvSpPr/>
      </xdr:nvSpPr>
      <xdr:spPr>
        <a:xfrm>
          <a:off x="2241175" y="3104030"/>
          <a:ext cx="1232648" cy="201706"/>
        </a:xfrm>
        <a:prstGeom prst="rect">
          <a:avLst/>
        </a:prstGeom>
        <a:solidFill>
          <a:srgbClr val="FF7C80"/>
        </a:solidFill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800" b="0">
              <a:solidFill>
                <a:schemeClr val="tx1"/>
              </a:solidFill>
            </a:rPr>
            <a:t>StBA Freising</a:t>
          </a:r>
        </a:p>
      </xdr:txBody>
    </xdr:sp>
    <xdr:clientData/>
  </xdr:twoCellAnchor>
  <xdr:twoCellAnchor>
    <xdr:from>
      <xdr:col>1</xdr:col>
      <xdr:colOff>1</xdr:colOff>
      <xdr:row>16</xdr:row>
      <xdr:rowOff>168088</xdr:rowOff>
    </xdr:from>
    <xdr:to>
      <xdr:col>2</xdr:col>
      <xdr:colOff>201707</xdr:colOff>
      <xdr:row>18</xdr:row>
      <xdr:rowOff>0</xdr:rowOff>
    </xdr:to>
    <xdr:sp macro="" textlink="">
      <xdr:nvSpPr>
        <xdr:cNvPr id="9" name="Prostokąt 2"/>
        <xdr:cNvSpPr/>
      </xdr:nvSpPr>
      <xdr:spPr>
        <a:xfrm>
          <a:off x="2241177" y="3451412"/>
          <a:ext cx="1266265" cy="212912"/>
        </a:xfrm>
        <a:prstGeom prst="rect">
          <a:avLst/>
        </a:prstGeom>
        <a:solidFill>
          <a:srgbClr val="669BFF"/>
        </a:solidFill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800" b="0">
              <a:solidFill>
                <a:schemeClr val="tx1"/>
              </a:solidFill>
            </a:rPr>
            <a:t>StBA Freising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201706</xdr:colOff>
          <xdr:row>27</xdr:row>
          <xdr:rowOff>22412</xdr:rowOff>
        </xdr:from>
        <xdr:to>
          <xdr:col>0</xdr:col>
          <xdr:colOff>1781735</xdr:colOff>
          <xdr:row>37</xdr:row>
          <xdr:rowOff>179295</xdr:rowOff>
        </xdr:to>
        <xdr:grpSp>
          <xdr:nvGrpSpPr>
            <xdr:cNvPr id="6" name="Gruppieren 5"/>
            <xdr:cNvGrpSpPr/>
          </xdr:nvGrpSpPr>
          <xdr:grpSpPr>
            <a:xfrm>
              <a:off x="201706" y="5468471"/>
              <a:ext cx="1580029" cy="2061883"/>
              <a:chOff x="437030" y="3866011"/>
              <a:chExt cx="1176618" cy="1367118"/>
            </a:xfrm>
          </xdr:grpSpPr>
          <xdr:sp macro="" textlink="">
            <xdr:nvSpPr>
              <xdr:cNvPr id="1026" name="Group Box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437030" y="3866011"/>
                <a:ext cx="1176618" cy="1367118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cs typeface="Tahoma"/>
                  </a:rPr>
                  <a:t>Options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448235" y="3944472"/>
                <a:ext cx="1131794" cy="2746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MakeChart</a:t>
                </a:r>
              </a:p>
            </xdr:txBody>
          </xdr: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451096" y="4257619"/>
                <a:ext cx="1137517" cy="259838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RefreshChart</a:t>
                </a:r>
              </a:p>
            </xdr:txBody>
          </xdr:sp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>
              <a:xfrm>
                <a:off x="453719" y="5003747"/>
                <a:ext cx="1143000" cy="213606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RefreshLines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</xdr:col>
      <xdr:colOff>1</xdr:colOff>
      <xdr:row>21</xdr:row>
      <xdr:rowOff>112059</xdr:rowOff>
    </xdr:from>
    <xdr:to>
      <xdr:col>2</xdr:col>
      <xdr:colOff>179294</xdr:colOff>
      <xdr:row>21</xdr:row>
      <xdr:rowOff>112059</xdr:rowOff>
    </xdr:to>
    <xdr:cxnSp macro="">
      <xdr:nvCxnSpPr>
        <xdr:cNvPr id="3" name="Line 1"/>
        <xdr:cNvCxnSpPr/>
      </xdr:nvCxnSpPr>
      <xdr:spPr>
        <a:xfrm>
          <a:off x="2241177" y="4347883"/>
          <a:ext cx="1243852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11204</xdr:colOff>
      <xdr:row>22</xdr:row>
      <xdr:rowOff>100852</xdr:rowOff>
    </xdr:from>
    <xdr:to>
      <xdr:col>2</xdr:col>
      <xdr:colOff>190497</xdr:colOff>
      <xdr:row>22</xdr:row>
      <xdr:rowOff>100852</xdr:rowOff>
    </xdr:to>
    <xdr:cxnSp macro="">
      <xdr:nvCxnSpPr>
        <xdr:cNvPr id="11" name="Line 2"/>
        <xdr:cNvCxnSpPr/>
      </xdr:nvCxnSpPr>
      <xdr:spPr>
        <a:xfrm>
          <a:off x="2252380" y="4527176"/>
          <a:ext cx="1243852" cy="0"/>
        </a:xfrm>
        <a:prstGeom prst="line">
          <a:avLst/>
        </a:prstGeom>
        <a:ln w="25400">
          <a:solidFill>
            <a:srgbClr val="FF7C80"/>
          </a:solidFill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2241175</xdr:colOff>
      <xdr:row>23</xdr:row>
      <xdr:rowOff>67236</xdr:rowOff>
    </xdr:from>
    <xdr:to>
      <xdr:col>2</xdr:col>
      <xdr:colOff>179292</xdr:colOff>
      <xdr:row>23</xdr:row>
      <xdr:rowOff>67236</xdr:rowOff>
    </xdr:to>
    <xdr:cxnSp macro="">
      <xdr:nvCxnSpPr>
        <xdr:cNvPr id="13" name="Line 3"/>
        <xdr:cNvCxnSpPr/>
      </xdr:nvCxnSpPr>
      <xdr:spPr>
        <a:xfrm>
          <a:off x="2241175" y="4684060"/>
          <a:ext cx="1243852" cy="0"/>
        </a:xfrm>
        <a:prstGeom prst="line">
          <a:avLst/>
        </a:prstGeom>
        <a:ln w="25400">
          <a:solidFill>
            <a:srgbClr val="669BFF"/>
          </a:solidFill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201706</xdr:colOff>
      <xdr:row>20</xdr:row>
      <xdr:rowOff>22412</xdr:rowOff>
    </xdr:to>
    <xdr:sp macro="" textlink="">
      <xdr:nvSpPr>
        <xdr:cNvPr id="12" name="Prostokąt 3"/>
        <xdr:cNvSpPr/>
      </xdr:nvSpPr>
      <xdr:spPr>
        <a:xfrm>
          <a:off x="2241176" y="3854824"/>
          <a:ext cx="1266265" cy="212912"/>
        </a:xfrm>
        <a:prstGeom prst="rect">
          <a:avLst/>
        </a:prstGeom>
        <a:solidFill>
          <a:srgbClr val="D9D9D9"/>
        </a:solidFill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800" b="0">
              <a:solidFill>
                <a:schemeClr val="tx1"/>
              </a:solidFill>
            </a:rPr>
            <a:t>StBA Freising</a:t>
          </a:r>
        </a:p>
      </xdr:txBody>
    </xdr:sp>
    <xdr:clientData/>
  </xdr:twoCellAnchor>
  <xdr:twoCellAnchor>
    <xdr:from>
      <xdr:col>1</xdr:col>
      <xdr:colOff>0</xdr:colOff>
      <xdr:row>24</xdr:row>
      <xdr:rowOff>78441</xdr:rowOff>
    </xdr:from>
    <xdr:to>
      <xdr:col>2</xdr:col>
      <xdr:colOff>179293</xdr:colOff>
      <xdr:row>24</xdr:row>
      <xdr:rowOff>78441</xdr:rowOff>
    </xdr:to>
    <xdr:cxnSp macro="">
      <xdr:nvCxnSpPr>
        <xdr:cNvPr id="14" name="Line 4"/>
        <xdr:cNvCxnSpPr/>
      </xdr:nvCxnSpPr>
      <xdr:spPr>
        <a:xfrm>
          <a:off x="2241176" y="4930588"/>
          <a:ext cx="1243852" cy="0"/>
        </a:xfrm>
        <a:prstGeom prst="line">
          <a:avLst/>
        </a:prstGeom>
        <a:ln w="25400">
          <a:solidFill>
            <a:srgbClr val="D9D9D9"/>
          </a:solidFill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K50"/>
  <sheetViews>
    <sheetView zoomScale="85" zoomScaleNormal="85" workbookViewId="0"/>
  </sheetViews>
  <sheetFormatPr defaultColWidth="11.42578125" defaultRowHeight="15" x14ac:dyDescent="0.25"/>
  <cols>
    <col min="1" max="1" width="33.5703125" customWidth="1"/>
    <col min="2" max="2" width="16" customWidth="1"/>
    <col min="4" max="4" width="20" bestFit="1" customWidth="1"/>
    <col min="5" max="5" width="19.5703125" customWidth="1"/>
    <col min="6" max="6" width="10.7109375" bestFit="1" customWidth="1"/>
    <col min="7" max="7" width="15.7109375" bestFit="1" customWidth="1"/>
    <col min="8" max="9" width="14.28515625" bestFit="1" customWidth="1"/>
  </cols>
  <sheetData>
    <row r="1" spans="1:11" ht="15.75" thickBot="1" x14ac:dyDescent="0.3">
      <c r="J1" s="1"/>
    </row>
    <row r="2" spans="1:11" ht="20.25" thickBot="1" x14ac:dyDescent="0.35">
      <c r="A2" s="5" t="s">
        <v>21</v>
      </c>
      <c r="B2" s="2"/>
      <c r="C2" s="1"/>
      <c r="D2" t="s">
        <v>8</v>
      </c>
      <c r="E2" s="24" t="s">
        <v>53</v>
      </c>
      <c r="H2" s="26" t="s">
        <v>57</v>
      </c>
      <c r="J2" s="1"/>
      <c r="K2" s="25" t="s">
        <v>50</v>
      </c>
    </row>
    <row r="3" spans="1:11" ht="19.5" x14ac:dyDescent="0.3">
      <c r="C3" s="1"/>
      <c r="D3" t="s">
        <v>15</v>
      </c>
      <c r="E3" s="9" t="s">
        <v>51</v>
      </c>
      <c r="J3" s="1"/>
    </row>
    <row r="4" spans="1:11" ht="19.5" x14ac:dyDescent="0.3">
      <c r="A4" t="s">
        <v>3</v>
      </c>
      <c r="B4" s="3" t="s">
        <v>4</v>
      </c>
      <c r="C4" s="1"/>
      <c r="D4" t="s">
        <v>16</v>
      </c>
      <c r="E4" s="9" t="s">
        <v>52</v>
      </c>
      <c r="J4" s="1"/>
    </row>
    <row r="5" spans="1:11" x14ac:dyDescent="0.25">
      <c r="A5" t="s">
        <v>6</v>
      </c>
      <c r="B5" s="4" t="s">
        <v>29</v>
      </c>
      <c r="C5" s="1"/>
      <c r="D5" t="s">
        <v>12</v>
      </c>
      <c r="E5" s="10">
        <v>6.5</v>
      </c>
    </row>
    <row r="6" spans="1:11" x14ac:dyDescent="0.25">
      <c r="A6" t="s">
        <v>11</v>
      </c>
      <c r="B6" s="4" t="s">
        <v>22</v>
      </c>
      <c r="C6" s="1"/>
      <c r="D6" t="s">
        <v>13</v>
      </c>
      <c r="E6">
        <v>1</v>
      </c>
      <c r="G6" s="11">
        <f>MIN(G10:H29)</f>
        <v>1.1399999999999999</v>
      </c>
      <c r="H6" s="11"/>
      <c r="I6" s="11"/>
      <c r="J6" s="23"/>
    </row>
    <row r="7" spans="1:11" x14ac:dyDescent="0.25">
      <c r="A7" t="s">
        <v>5</v>
      </c>
      <c r="B7" s="3" t="s">
        <v>7</v>
      </c>
      <c r="C7" s="1"/>
      <c r="D7" t="s">
        <v>14</v>
      </c>
      <c r="E7" s="1">
        <v>2</v>
      </c>
      <c r="G7" s="11">
        <f>MAX(G10:H29)</f>
        <v>1.91</v>
      </c>
      <c r="H7" s="11"/>
      <c r="I7" s="11"/>
      <c r="J7" s="23"/>
    </row>
    <row r="8" spans="1:11" ht="15.75" thickBot="1" x14ac:dyDescent="0.3">
      <c r="A8" t="s">
        <v>19</v>
      </c>
      <c r="B8">
        <v>30</v>
      </c>
      <c r="C8" s="1"/>
      <c r="J8" s="1"/>
    </row>
    <row r="9" spans="1:11" ht="15.75" thickBot="1" x14ac:dyDescent="0.3">
      <c r="C9" s="1"/>
      <c r="D9" s="14" t="s">
        <v>0</v>
      </c>
      <c r="E9" s="15" t="s">
        <v>1</v>
      </c>
      <c r="F9" s="15" t="s">
        <v>2</v>
      </c>
      <c r="G9" s="15"/>
      <c r="H9" s="16"/>
      <c r="I9" s="17"/>
      <c r="J9" s="1"/>
    </row>
    <row r="10" spans="1:11" ht="15.75" thickBot="1" x14ac:dyDescent="0.3">
      <c r="A10" t="s">
        <v>10</v>
      </c>
      <c r="B10" s="22"/>
      <c r="C10" s="6"/>
      <c r="D10" s="18" t="s">
        <v>25</v>
      </c>
      <c r="E10" s="19">
        <f>SUM(E11:E29)</f>
        <v>5815.021999999999</v>
      </c>
      <c r="F10" s="19">
        <f>SUM(F11:F29)</f>
        <v>89371</v>
      </c>
      <c r="G10" s="20">
        <f>ROUND(SUMPRODUCT(G11:G29,$E$11:$E$29)/SUM($E$11:$E$29),2)</f>
        <v>1.39</v>
      </c>
      <c r="H10" s="20">
        <f>ROUND(SUMPRODUCT(H11:H29,$E$11:$E$29)/SUM($E$11:$E$29),2)</f>
        <v>1.37</v>
      </c>
      <c r="I10" s="20"/>
      <c r="J10" s="1"/>
    </row>
    <row r="11" spans="1:11" ht="15.75" thickBot="1" x14ac:dyDescent="0.3">
      <c r="C11" s="1"/>
      <c r="D11" t="s">
        <v>31</v>
      </c>
      <c r="E11">
        <v>308.36099999999999</v>
      </c>
      <c r="F11">
        <v>5543</v>
      </c>
      <c r="G11">
        <v>1.31</v>
      </c>
      <c r="H11">
        <v>1.32</v>
      </c>
      <c r="I11" s="7"/>
      <c r="J11" s="1"/>
    </row>
    <row r="12" spans="1:11" ht="15.75" thickBot="1" x14ac:dyDescent="0.3">
      <c r="A12" t="s">
        <v>9</v>
      </c>
      <c r="B12" s="12"/>
      <c r="C12" s="1"/>
      <c r="D12" t="s">
        <v>32</v>
      </c>
      <c r="E12">
        <v>190.17599999999999</v>
      </c>
      <c r="F12">
        <v>2699</v>
      </c>
      <c r="G12">
        <v>1.1399999999999999</v>
      </c>
      <c r="H12">
        <v>1.1599999999999999</v>
      </c>
      <c r="I12" s="7"/>
      <c r="J12" s="1"/>
    </row>
    <row r="13" spans="1:11" ht="15.75" thickBot="1" x14ac:dyDescent="0.3">
      <c r="C13" s="1"/>
      <c r="D13" t="s">
        <v>33</v>
      </c>
      <c r="E13">
        <v>262.88400000000001</v>
      </c>
      <c r="F13">
        <v>4506</v>
      </c>
      <c r="G13">
        <v>1.45</v>
      </c>
      <c r="H13">
        <v>1.38</v>
      </c>
      <c r="I13" s="7"/>
      <c r="J13" s="1"/>
    </row>
    <row r="14" spans="1:11" ht="15.75" thickBot="1" x14ac:dyDescent="0.3">
      <c r="A14" t="s">
        <v>26</v>
      </c>
      <c r="B14" s="13"/>
      <c r="C14" s="1"/>
      <c r="D14" t="s">
        <v>34</v>
      </c>
      <c r="E14">
        <v>305.74200000000002</v>
      </c>
      <c r="F14">
        <v>4753</v>
      </c>
      <c r="G14">
        <v>1.32</v>
      </c>
      <c r="H14">
        <v>1.35</v>
      </c>
      <c r="I14" s="7"/>
      <c r="J14" s="1"/>
    </row>
    <row r="15" spans="1:11" x14ac:dyDescent="0.25">
      <c r="B15" s="1"/>
      <c r="C15" s="1"/>
      <c r="D15" t="s">
        <v>35</v>
      </c>
      <c r="E15">
        <v>361.14299999999997</v>
      </c>
      <c r="F15">
        <v>4863</v>
      </c>
      <c r="G15">
        <v>1.28</v>
      </c>
      <c r="H15">
        <v>1.22</v>
      </c>
      <c r="I15" s="7"/>
      <c r="J15" s="1"/>
    </row>
    <row r="16" spans="1:11" x14ac:dyDescent="0.25">
      <c r="A16" t="s">
        <v>17</v>
      </c>
      <c r="B16" s="2"/>
      <c r="C16" s="1"/>
      <c r="D16" t="s">
        <v>36</v>
      </c>
      <c r="E16">
        <v>227.18600000000001</v>
      </c>
      <c r="F16">
        <v>3392</v>
      </c>
      <c r="G16">
        <v>1.37</v>
      </c>
      <c r="H16">
        <v>1.36</v>
      </c>
      <c r="I16" s="7"/>
      <c r="J16" s="1"/>
    </row>
    <row r="17" spans="1:10" x14ac:dyDescent="0.25">
      <c r="B17" s="2"/>
      <c r="C17" s="1"/>
      <c r="D17" t="s">
        <v>37</v>
      </c>
      <c r="E17">
        <v>547.88800000000003</v>
      </c>
      <c r="F17">
        <v>6671</v>
      </c>
      <c r="G17">
        <v>1.26</v>
      </c>
      <c r="H17">
        <v>1.27</v>
      </c>
      <c r="I17" s="7"/>
      <c r="J17" s="1"/>
    </row>
    <row r="18" spans="1:10" x14ac:dyDescent="0.25">
      <c r="A18" s="2" t="s">
        <v>18</v>
      </c>
      <c r="C18" s="1"/>
      <c r="D18" t="s">
        <v>38</v>
      </c>
      <c r="E18">
        <v>413.39800000000002</v>
      </c>
      <c r="F18">
        <v>5751</v>
      </c>
      <c r="G18">
        <v>1.23</v>
      </c>
      <c r="H18">
        <v>1.28</v>
      </c>
      <c r="I18" s="7"/>
      <c r="J18" s="1"/>
    </row>
    <row r="19" spans="1:10" x14ac:dyDescent="0.25">
      <c r="C19" s="1"/>
      <c r="D19" t="s">
        <v>39</v>
      </c>
      <c r="E19">
        <v>261.90100000000001</v>
      </c>
      <c r="F19">
        <v>3625</v>
      </c>
      <c r="G19">
        <v>1.23</v>
      </c>
      <c r="H19">
        <v>1.23</v>
      </c>
      <c r="I19" s="7"/>
      <c r="J19" s="1"/>
    </row>
    <row r="20" spans="1:10" x14ac:dyDescent="0.25">
      <c r="A20" t="s">
        <v>27</v>
      </c>
      <c r="C20" s="1"/>
      <c r="D20" t="s">
        <v>40</v>
      </c>
      <c r="E20">
        <v>344.47300000000001</v>
      </c>
      <c r="F20">
        <v>6592</v>
      </c>
      <c r="G20">
        <v>1.46</v>
      </c>
      <c r="H20">
        <v>1.52</v>
      </c>
      <c r="I20" s="7"/>
      <c r="J20" s="1"/>
    </row>
    <row r="21" spans="1:10" x14ac:dyDescent="0.25">
      <c r="C21" s="1"/>
      <c r="D21" t="s">
        <v>41</v>
      </c>
      <c r="E21">
        <v>402.70299999999997</v>
      </c>
      <c r="F21">
        <v>5890</v>
      </c>
      <c r="G21">
        <v>1.57</v>
      </c>
      <c r="H21">
        <v>1.48</v>
      </c>
      <c r="I21" s="7"/>
      <c r="J21" s="1"/>
    </row>
    <row r="22" spans="1:10" x14ac:dyDescent="0.25">
      <c r="A22" t="s">
        <v>20</v>
      </c>
      <c r="C22" s="1"/>
      <c r="D22" t="s">
        <v>42</v>
      </c>
      <c r="E22">
        <v>304.32600000000002</v>
      </c>
      <c r="F22">
        <v>4923</v>
      </c>
      <c r="G22">
        <v>1.91</v>
      </c>
      <c r="H22">
        <v>1.68</v>
      </c>
      <c r="I22" s="7"/>
      <c r="J22" s="1"/>
    </row>
    <row r="23" spans="1:10" x14ac:dyDescent="0.25">
      <c r="A23" t="s">
        <v>24</v>
      </c>
      <c r="C23" s="1"/>
      <c r="D23" t="s">
        <v>43</v>
      </c>
      <c r="E23">
        <v>207.363</v>
      </c>
      <c r="F23">
        <v>2899</v>
      </c>
      <c r="G23">
        <v>1.1599999999999999</v>
      </c>
      <c r="H23">
        <v>1.26</v>
      </c>
      <c r="I23" s="7"/>
      <c r="J23" s="1"/>
    </row>
    <row r="24" spans="1:10" ht="18" customHeight="1" x14ac:dyDescent="0.25">
      <c r="A24" t="s">
        <v>23</v>
      </c>
      <c r="C24" s="1"/>
      <c r="D24" t="s">
        <v>44</v>
      </c>
      <c r="E24">
        <v>134.267</v>
      </c>
      <c r="F24">
        <v>1841</v>
      </c>
      <c r="G24">
        <v>1.38</v>
      </c>
      <c r="H24">
        <v>1.68</v>
      </c>
      <c r="I24" s="7"/>
      <c r="J24" s="1"/>
    </row>
    <row r="25" spans="1:10" x14ac:dyDescent="0.25">
      <c r="A25" t="s">
        <v>28</v>
      </c>
      <c r="C25" s="1"/>
      <c r="D25" t="s">
        <v>45</v>
      </c>
      <c r="E25">
        <v>361.464</v>
      </c>
      <c r="F25">
        <v>6104</v>
      </c>
      <c r="G25">
        <v>1.76</v>
      </c>
      <c r="H25">
        <v>1.69</v>
      </c>
      <c r="I25" s="7"/>
      <c r="J25" s="1"/>
    </row>
    <row r="26" spans="1:10" x14ac:dyDescent="0.25">
      <c r="C26" s="1"/>
      <c r="D26" t="s">
        <v>46</v>
      </c>
      <c r="E26">
        <v>308.32900000000001</v>
      </c>
      <c r="F26">
        <v>4813</v>
      </c>
      <c r="G26">
        <v>1.55</v>
      </c>
      <c r="H26">
        <v>1.63</v>
      </c>
      <c r="I26" s="7"/>
    </row>
    <row r="27" spans="1:10" x14ac:dyDescent="0.25">
      <c r="C27" s="1"/>
      <c r="D27" t="s">
        <v>47</v>
      </c>
      <c r="E27">
        <v>284.03899999999999</v>
      </c>
      <c r="F27">
        <v>3850</v>
      </c>
      <c r="G27">
        <v>1.28</v>
      </c>
      <c r="H27">
        <v>1.19</v>
      </c>
      <c r="I27" s="7"/>
    </row>
    <row r="28" spans="1:10" x14ac:dyDescent="0.25">
      <c r="C28" s="1"/>
      <c r="D28" t="s">
        <v>48</v>
      </c>
      <c r="E28">
        <v>423.00900000000001</v>
      </c>
      <c r="F28">
        <v>7394</v>
      </c>
      <c r="G28">
        <v>1.34</v>
      </c>
      <c r="H28">
        <v>1.25</v>
      </c>
      <c r="I28" s="21"/>
    </row>
    <row r="29" spans="1:10" x14ac:dyDescent="0.25">
      <c r="D29" t="s">
        <v>49</v>
      </c>
      <c r="E29">
        <v>166.37</v>
      </c>
      <c r="F29">
        <v>3262</v>
      </c>
      <c r="G29">
        <v>1.19</v>
      </c>
      <c r="H29">
        <v>1.18</v>
      </c>
      <c r="I29" s="21"/>
    </row>
    <row r="30" spans="1:10" x14ac:dyDescent="0.25">
      <c r="D30" s="8"/>
      <c r="E30" s="8"/>
      <c r="F30" s="8"/>
      <c r="G30" s="8"/>
      <c r="H30" s="8"/>
      <c r="I30" s="8"/>
    </row>
    <row r="37" spans="4:4" x14ac:dyDescent="0.25">
      <c r="D37" s="2"/>
    </row>
    <row r="38" spans="4:4" x14ac:dyDescent="0.25">
      <c r="D38" s="2"/>
    </row>
    <row r="39" spans="4:4" x14ac:dyDescent="0.25">
      <c r="D39" s="2"/>
    </row>
    <row r="40" spans="4:4" x14ac:dyDescent="0.25">
      <c r="D40" s="2"/>
    </row>
    <row r="41" spans="4:4" x14ac:dyDescent="0.25">
      <c r="D41" s="2"/>
    </row>
    <row r="42" spans="4:4" x14ac:dyDescent="0.25">
      <c r="D42" s="2"/>
    </row>
    <row r="43" spans="4:4" x14ac:dyDescent="0.25">
      <c r="D43" s="2"/>
    </row>
    <row r="44" spans="4:4" x14ac:dyDescent="0.25">
      <c r="D44" s="2"/>
    </row>
    <row r="45" spans="4:4" x14ac:dyDescent="0.25">
      <c r="D45" s="2"/>
    </row>
    <row r="46" spans="4:4" x14ac:dyDescent="0.25">
      <c r="D46" s="2"/>
    </row>
    <row r="47" spans="4:4" x14ac:dyDescent="0.25">
      <c r="D47" s="2"/>
    </row>
    <row r="48" spans="4:4" x14ac:dyDescent="0.25">
      <c r="D48" s="2"/>
    </row>
    <row r="49" spans="4:4" x14ac:dyDescent="0.25">
      <c r="D49" s="2"/>
    </row>
    <row r="50" spans="4:4" x14ac:dyDescent="0.25">
      <c r="D50" s="2"/>
    </row>
  </sheetData>
  <pageMargins left="0.7" right="0.7" top="0.78740157499999996" bottom="0.78740157499999996" header="0.3" footer="0.3"/>
  <pageSetup paperSize="9" scale="40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 sizeWithCells="1">
                  <from>
                    <xdr:col>0</xdr:col>
                    <xdr:colOff>200025</xdr:colOff>
                    <xdr:row>27</xdr:row>
                    <xdr:rowOff>19050</xdr:rowOff>
                  </from>
                  <to>
                    <xdr:col>0</xdr:col>
                    <xdr:colOff>1781175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Make_chart">
                <anchor moveWithCells="1" sizeWithCells="1">
                  <from>
                    <xdr:col>0</xdr:col>
                    <xdr:colOff>219075</xdr:colOff>
                    <xdr:row>27</xdr:row>
                    <xdr:rowOff>142875</xdr:rowOff>
                  </from>
                  <to>
                    <xdr:col>0</xdr:col>
                    <xdr:colOff>1733550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autoFill="0" autoPict="0" macro="[0]!RefresChart" altText="RefreshChart">
                <anchor moveWithCells="1" sizeWithCells="1">
                  <from>
                    <xdr:col>0</xdr:col>
                    <xdr:colOff>219075</xdr:colOff>
                    <xdr:row>30</xdr:row>
                    <xdr:rowOff>38100</xdr:rowOff>
                  </from>
                  <to>
                    <xdr:col>0</xdr:col>
                    <xdr:colOff>1752600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RefresLeadingLines">
                <anchor moveWithCells="1" sizeWithCells="1">
                  <from>
                    <xdr:col>0</xdr:col>
                    <xdr:colOff>228600</xdr:colOff>
                    <xdr:row>36</xdr:row>
                    <xdr:rowOff>28575</xdr:rowOff>
                  </from>
                  <to>
                    <xdr:col>0</xdr:col>
                    <xdr:colOff>1762125</xdr:colOff>
                    <xdr:row>37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I21"/>
  <sheetViews>
    <sheetView workbookViewId="0">
      <selection activeCell="E3" sqref="E3:E21"/>
    </sheetView>
  </sheetViews>
  <sheetFormatPr defaultRowHeight="15" x14ac:dyDescent="0.25"/>
  <cols>
    <col min="1" max="1" width="30.140625" bestFit="1" customWidth="1"/>
    <col min="3" max="3" width="10.5703125" bestFit="1" customWidth="1"/>
    <col min="4" max="6" width="23.5703125" bestFit="1" customWidth="1"/>
  </cols>
  <sheetData>
    <row r="1" spans="1:9" x14ac:dyDescent="0.25">
      <c r="A1" t="s">
        <v>30</v>
      </c>
      <c r="B1" t="s">
        <v>1</v>
      </c>
      <c r="C1" t="s">
        <v>2</v>
      </c>
      <c r="D1" t="s">
        <v>54</v>
      </c>
      <c r="E1" t="s">
        <v>55</v>
      </c>
      <c r="F1" t="s">
        <v>56</v>
      </c>
    </row>
    <row r="2" spans="1:9" x14ac:dyDescent="0.25">
      <c r="B2">
        <v>0</v>
      </c>
      <c r="C2">
        <v>0</v>
      </c>
      <c r="D2">
        <v>0</v>
      </c>
      <c r="E2">
        <v>0</v>
      </c>
      <c r="F2">
        <v>0</v>
      </c>
    </row>
    <row r="3" spans="1:9" x14ac:dyDescent="0.25">
      <c r="A3" t="s">
        <v>31</v>
      </c>
      <c r="B3">
        <v>308.36099999999999</v>
      </c>
      <c r="C3">
        <v>5543</v>
      </c>
      <c r="D3">
        <v>1.27</v>
      </c>
      <c r="E3">
        <v>1.31</v>
      </c>
      <c r="F3">
        <v>1.32</v>
      </c>
      <c r="I3">
        <f>MAX(D3:F21)</f>
        <v>1.97</v>
      </c>
    </row>
    <row r="4" spans="1:9" x14ac:dyDescent="0.25">
      <c r="A4" t="s">
        <v>32</v>
      </c>
      <c r="B4">
        <v>190.17599999999999</v>
      </c>
      <c r="C4">
        <v>2699</v>
      </c>
      <c r="D4">
        <v>1.1499999999999999</v>
      </c>
      <c r="E4">
        <v>1.1399999999999999</v>
      </c>
      <c r="F4">
        <v>1.1599999999999999</v>
      </c>
    </row>
    <row r="5" spans="1:9" x14ac:dyDescent="0.25">
      <c r="A5" t="s">
        <v>33</v>
      </c>
      <c r="B5">
        <v>262.88400000000001</v>
      </c>
      <c r="C5">
        <v>4506</v>
      </c>
      <c r="D5">
        <v>1.54</v>
      </c>
      <c r="E5">
        <v>1.45</v>
      </c>
      <c r="F5">
        <v>1.38</v>
      </c>
      <c r="I5">
        <f>MIN(D3:F21)</f>
        <v>1.07</v>
      </c>
    </row>
    <row r="6" spans="1:9" x14ac:dyDescent="0.25">
      <c r="A6" t="s">
        <v>34</v>
      </c>
      <c r="B6">
        <v>305.74200000000002</v>
      </c>
      <c r="C6">
        <v>4753</v>
      </c>
      <c r="D6">
        <v>1.27</v>
      </c>
      <c r="E6">
        <v>1.32</v>
      </c>
      <c r="F6">
        <v>1.35</v>
      </c>
    </row>
    <row r="7" spans="1:9" x14ac:dyDescent="0.25">
      <c r="A7" t="s">
        <v>35</v>
      </c>
      <c r="B7">
        <v>361.14299999999997</v>
      </c>
      <c r="C7">
        <v>4863</v>
      </c>
      <c r="D7">
        <v>1.23</v>
      </c>
      <c r="E7">
        <v>1.28</v>
      </c>
      <c r="F7">
        <v>1.22</v>
      </c>
    </row>
    <row r="8" spans="1:9" x14ac:dyDescent="0.25">
      <c r="A8" t="s">
        <v>36</v>
      </c>
      <c r="B8">
        <v>227.18600000000001</v>
      </c>
      <c r="C8">
        <v>3392</v>
      </c>
      <c r="D8">
        <v>1.42</v>
      </c>
      <c r="E8">
        <v>1.37</v>
      </c>
      <c r="F8">
        <v>1.36</v>
      </c>
    </row>
    <row r="9" spans="1:9" x14ac:dyDescent="0.25">
      <c r="A9" t="s">
        <v>37</v>
      </c>
      <c r="B9">
        <v>547.88800000000003</v>
      </c>
      <c r="C9">
        <v>6671</v>
      </c>
      <c r="D9">
        <v>1.19</v>
      </c>
      <c r="E9">
        <v>1.26</v>
      </c>
      <c r="F9">
        <v>1.27</v>
      </c>
    </row>
    <row r="10" spans="1:9" x14ac:dyDescent="0.25">
      <c r="A10" t="s">
        <v>38</v>
      </c>
      <c r="B10">
        <v>413.39800000000002</v>
      </c>
      <c r="C10">
        <v>5751</v>
      </c>
      <c r="D10">
        <v>1.1599999999999999</v>
      </c>
      <c r="E10">
        <v>1.23</v>
      </c>
      <c r="F10">
        <v>1.28</v>
      </c>
    </row>
    <row r="11" spans="1:9" x14ac:dyDescent="0.25">
      <c r="A11" t="s">
        <v>39</v>
      </c>
      <c r="B11">
        <v>261.90100000000001</v>
      </c>
      <c r="C11">
        <v>3625</v>
      </c>
      <c r="D11">
        <v>1.37</v>
      </c>
      <c r="E11">
        <v>1.23</v>
      </c>
      <c r="F11">
        <v>1.23</v>
      </c>
    </row>
    <row r="12" spans="1:9" x14ac:dyDescent="0.25">
      <c r="A12" t="s">
        <v>40</v>
      </c>
      <c r="B12">
        <v>344.47300000000001</v>
      </c>
      <c r="C12">
        <v>6592</v>
      </c>
      <c r="D12">
        <v>1.43</v>
      </c>
      <c r="E12">
        <v>1.46</v>
      </c>
      <c r="F12">
        <v>1.52</v>
      </c>
    </row>
    <row r="13" spans="1:9" x14ac:dyDescent="0.25">
      <c r="A13" t="s">
        <v>41</v>
      </c>
      <c r="B13">
        <v>402.70299999999997</v>
      </c>
      <c r="C13">
        <v>5890</v>
      </c>
      <c r="D13">
        <v>1.6</v>
      </c>
      <c r="E13">
        <v>1.57</v>
      </c>
      <c r="F13">
        <v>1.48</v>
      </c>
    </row>
    <row r="14" spans="1:9" x14ac:dyDescent="0.25">
      <c r="A14" t="s">
        <v>42</v>
      </c>
      <c r="B14">
        <v>304.32600000000002</v>
      </c>
      <c r="C14">
        <v>4923</v>
      </c>
      <c r="D14">
        <v>1.97</v>
      </c>
      <c r="E14">
        <v>1.91</v>
      </c>
      <c r="F14">
        <v>1.68</v>
      </c>
    </row>
    <row r="15" spans="1:9" x14ac:dyDescent="0.25">
      <c r="A15" t="s">
        <v>43</v>
      </c>
      <c r="B15">
        <v>207.363</v>
      </c>
      <c r="C15">
        <v>2899</v>
      </c>
      <c r="D15">
        <v>1.19</v>
      </c>
      <c r="E15">
        <v>1.1599999999999999</v>
      </c>
      <c r="F15">
        <v>1.26</v>
      </c>
    </row>
    <row r="16" spans="1:9" x14ac:dyDescent="0.25">
      <c r="A16" t="s">
        <v>44</v>
      </c>
      <c r="B16">
        <v>134.267</v>
      </c>
      <c r="C16">
        <v>1841</v>
      </c>
      <c r="D16">
        <v>1.64</v>
      </c>
      <c r="E16">
        <v>1.38</v>
      </c>
      <c r="F16">
        <v>1.68</v>
      </c>
    </row>
    <row r="17" spans="1:6" x14ac:dyDescent="0.25">
      <c r="A17" t="s">
        <v>45</v>
      </c>
      <c r="B17">
        <v>361.464</v>
      </c>
      <c r="C17">
        <v>6104</v>
      </c>
      <c r="D17">
        <v>1.66</v>
      </c>
      <c r="E17">
        <v>1.76</v>
      </c>
      <c r="F17">
        <v>1.69</v>
      </c>
    </row>
    <row r="18" spans="1:6" x14ac:dyDescent="0.25">
      <c r="A18" t="s">
        <v>46</v>
      </c>
      <c r="B18">
        <v>308.32900000000001</v>
      </c>
      <c r="C18">
        <v>4813</v>
      </c>
      <c r="D18">
        <v>1.59</v>
      </c>
      <c r="E18">
        <v>1.55</v>
      </c>
      <c r="F18">
        <v>1.63</v>
      </c>
    </row>
    <row r="19" spans="1:6" x14ac:dyDescent="0.25">
      <c r="A19" t="s">
        <v>47</v>
      </c>
      <c r="B19">
        <v>284.03899999999999</v>
      </c>
      <c r="C19">
        <v>3850</v>
      </c>
      <c r="D19">
        <v>1.42</v>
      </c>
      <c r="E19">
        <v>1.28</v>
      </c>
      <c r="F19">
        <v>1.19</v>
      </c>
    </row>
    <row r="20" spans="1:6" x14ac:dyDescent="0.25">
      <c r="A20" t="s">
        <v>48</v>
      </c>
      <c r="B20">
        <v>423.00900000000001</v>
      </c>
      <c r="C20">
        <v>7394</v>
      </c>
      <c r="D20">
        <v>1.35</v>
      </c>
      <c r="E20">
        <v>1.34</v>
      </c>
      <c r="F20">
        <v>1.25</v>
      </c>
    </row>
    <row r="21" spans="1:6" x14ac:dyDescent="0.25">
      <c r="A21" t="s">
        <v>49</v>
      </c>
      <c r="B21">
        <v>166.37</v>
      </c>
      <c r="C21">
        <v>3262</v>
      </c>
      <c r="D21">
        <v>1.07</v>
      </c>
      <c r="E21">
        <v>1.19</v>
      </c>
      <c r="F21">
        <v>1.18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Wykresy</vt:lpstr>
      </vt:variant>
      <vt:variant>
        <vt:i4>1</vt:i4>
      </vt:variant>
    </vt:vector>
  </HeadingPairs>
  <TitlesOfParts>
    <vt:vector size="3" baseType="lpstr">
      <vt:lpstr>MENU</vt:lpstr>
      <vt:lpstr>Dane</vt:lpstr>
      <vt:lpstr>Chart 1</vt:lpstr>
    </vt:vector>
  </TitlesOfParts>
  <Company>Heller Ing. Ges.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dusinski</dc:creator>
  <cp:lastModifiedBy>Dominik3</cp:lastModifiedBy>
  <cp:lastPrinted>2013-03-26T07:47:30Z</cp:lastPrinted>
  <dcterms:created xsi:type="dcterms:W3CDTF">2012-10-25T09:31:34Z</dcterms:created>
  <dcterms:modified xsi:type="dcterms:W3CDTF">2013-12-21T19:42:48Z</dcterms:modified>
</cp:coreProperties>
</file>